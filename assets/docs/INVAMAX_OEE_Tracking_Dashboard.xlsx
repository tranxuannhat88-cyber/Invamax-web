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AY TINH 2K\Downloads\"/>
    </mc:Choice>
  </mc:AlternateContent>
  <xr:revisionPtr revIDLastSave="0" documentId="13_ncr:1_{2BBFEEE6-F2E4-4616-BE1F-4ECB63B777EB}" xr6:coauthVersionLast="47" xr6:coauthVersionMax="47" xr10:uidLastSave="{00000000-0000-0000-0000-000000000000}"/>
  <bookViews>
    <workbookView xWindow="-108" yWindow="-108" windowWidth="23256" windowHeight="12576" firstSheet="1" activeTab="7" xr2:uid="{00000000-000D-0000-FFFF-FFFF00000000}"/>
  </bookViews>
  <sheets>
    <sheet name="OEE Dashboard" sheetId="1" r:id="rId1"/>
    <sheet name="Production Data" sheetId="2" r:id="rId2"/>
    <sheet name="Downtime Log" sheetId="3" r:id="rId3"/>
    <sheet name="Quality Data" sheetId="4" r:id="rId4"/>
    <sheet name="Machine Master" sheetId="5" r:id="rId5"/>
    <sheet name="Loss Codes" sheetId="6" r:id="rId6"/>
    <sheet name="Summary" sheetId="7" r:id="rId7"/>
    <sheet name="Hướng dẫ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7" l="1"/>
  <c r="A13" i="7"/>
  <c r="P13" i="7" s="1"/>
  <c r="L12" i="7"/>
  <c r="A12" i="7"/>
  <c r="P12" i="7" s="1"/>
  <c r="L11" i="7"/>
  <c r="A11" i="7"/>
  <c r="P11" i="7" s="1"/>
  <c r="L10" i="7"/>
  <c r="A10" i="7"/>
  <c r="P10" i="7" s="1"/>
  <c r="L9" i="7"/>
  <c r="A9" i="7"/>
  <c r="P9" i="7" s="1"/>
  <c r="L8" i="7"/>
  <c r="A8" i="7"/>
  <c r="P8" i="7" s="1"/>
  <c r="L7" i="7"/>
  <c r="A7" i="7"/>
  <c r="P7" i="7" s="1"/>
  <c r="R61" i="2"/>
  <c r="L61" i="2"/>
  <c r="J61" i="2"/>
  <c r="K61" i="2" s="1"/>
  <c r="G61" i="2"/>
  <c r="M61" i="2" s="1"/>
  <c r="R60" i="2"/>
  <c r="L60" i="2"/>
  <c r="J60" i="2"/>
  <c r="K60" i="2" s="1"/>
  <c r="P60" i="2" s="1"/>
  <c r="G60" i="2"/>
  <c r="M60" i="2" s="1"/>
  <c r="R59" i="2"/>
  <c r="L59" i="2"/>
  <c r="M59" i="2" s="1"/>
  <c r="J59" i="2"/>
  <c r="K59" i="2" s="1"/>
  <c r="P59" i="2" s="1"/>
  <c r="G59" i="2"/>
  <c r="R58" i="2"/>
  <c r="L58" i="2"/>
  <c r="M58" i="2" s="1"/>
  <c r="J58" i="2"/>
  <c r="K58" i="2" s="1"/>
  <c r="P58" i="2" s="1"/>
  <c r="G58" i="2"/>
  <c r="R57" i="2"/>
  <c r="L57" i="2"/>
  <c r="J57" i="2"/>
  <c r="K57" i="2" s="1"/>
  <c r="P57" i="2" s="1"/>
  <c r="G57" i="2"/>
  <c r="M57" i="2" s="1"/>
  <c r="R56" i="2"/>
  <c r="L56" i="2"/>
  <c r="J56" i="2"/>
  <c r="K56" i="2" s="1"/>
  <c r="P56" i="2" s="1"/>
  <c r="G56" i="2"/>
  <c r="M56" i="2" s="1"/>
  <c r="R55" i="2"/>
  <c r="L55" i="2"/>
  <c r="M55" i="2" s="1"/>
  <c r="J55" i="2"/>
  <c r="K55" i="2" s="1"/>
  <c r="P55" i="2" s="1"/>
  <c r="G55" i="2"/>
  <c r="R54" i="2"/>
  <c r="E13" i="7" s="1"/>
  <c r="L54" i="2"/>
  <c r="M54" i="2" s="1"/>
  <c r="J54" i="2"/>
  <c r="K54" i="2" s="1"/>
  <c r="P54" i="2" s="1"/>
  <c r="G54" i="2"/>
  <c r="R53" i="2"/>
  <c r="L53" i="2"/>
  <c r="J53" i="2"/>
  <c r="K53" i="2" s="1"/>
  <c r="P53" i="2" s="1"/>
  <c r="G53" i="2"/>
  <c r="M53" i="2" s="1"/>
  <c r="R52" i="2"/>
  <c r="L52" i="2"/>
  <c r="J52" i="2"/>
  <c r="K52" i="2" s="1"/>
  <c r="P52" i="2" s="1"/>
  <c r="G52" i="2"/>
  <c r="M52" i="2" s="1"/>
  <c r="R51" i="2"/>
  <c r="L51" i="2"/>
  <c r="M51" i="2" s="1"/>
  <c r="J51" i="2"/>
  <c r="K51" i="2" s="1"/>
  <c r="P51" i="2" s="1"/>
  <c r="G51" i="2"/>
  <c r="R50" i="2"/>
  <c r="L50" i="2"/>
  <c r="M50" i="2" s="1"/>
  <c r="J50" i="2"/>
  <c r="K50" i="2" s="1"/>
  <c r="P50" i="2" s="1"/>
  <c r="G50" i="2"/>
  <c r="R49" i="2"/>
  <c r="L49" i="2"/>
  <c r="J49" i="2"/>
  <c r="K49" i="2" s="1"/>
  <c r="P49" i="2" s="1"/>
  <c r="G49" i="2"/>
  <c r="M49" i="2" s="1"/>
  <c r="O49" i="2" s="1"/>
  <c r="R48" i="2"/>
  <c r="P48" i="2"/>
  <c r="L48" i="2"/>
  <c r="J48" i="2"/>
  <c r="K48" i="2" s="1"/>
  <c r="G48" i="2"/>
  <c r="M48" i="2" s="1"/>
  <c r="R47" i="2"/>
  <c r="L47" i="2"/>
  <c r="M47" i="2" s="1"/>
  <c r="J47" i="2"/>
  <c r="K47" i="2" s="1"/>
  <c r="P47" i="2" s="1"/>
  <c r="G47" i="2"/>
  <c r="R46" i="2"/>
  <c r="E12" i="7" s="1"/>
  <c r="L46" i="2"/>
  <c r="M46" i="2" s="1"/>
  <c r="J46" i="2"/>
  <c r="K46" i="2" s="1"/>
  <c r="P46" i="2" s="1"/>
  <c r="G46" i="2"/>
  <c r="R45" i="2"/>
  <c r="L45" i="2"/>
  <c r="J45" i="2"/>
  <c r="K45" i="2" s="1"/>
  <c r="P45" i="2" s="1"/>
  <c r="G45" i="2"/>
  <c r="M45" i="2" s="1"/>
  <c r="O45" i="2" s="1"/>
  <c r="R44" i="2"/>
  <c r="L44" i="2"/>
  <c r="J44" i="2"/>
  <c r="K44" i="2" s="1"/>
  <c r="P44" i="2" s="1"/>
  <c r="G44" i="2"/>
  <c r="M44" i="2" s="1"/>
  <c r="R43" i="2"/>
  <c r="L43" i="2"/>
  <c r="M43" i="2" s="1"/>
  <c r="J43" i="2"/>
  <c r="K43" i="2" s="1"/>
  <c r="P43" i="2" s="1"/>
  <c r="G43" i="2"/>
  <c r="R42" i="2"/>
  <c r="L42" i="2"/>
  <c r="M42" i="2" s="1"/>
  <c r="J42" i="2"/>
  <c r="K42" i="2" s="1"/>
  <c r="P42" i="2" s="1"/>
  <c r="G42" i="2"/>
  <c r="R41" i="2"/>
  <c r="L41" i="2"/>
  <c r="J41" i="2"/>
  <c r="K41" i="2" s="1"/>
  <c r="P41" i="2" s="1"/>
  <c r="G41" i="2"/>
  <c r="M41" i="2" s="1"/>
  <c r="O41" i="2" s="1"/>
  <c r="R40" i="2"/>
  <c r="L40" i="2"/>
  <c r="J40" i="2"/>
  <c r="K40" i="2" s="1"/>
  <c r="P40" i="2" s="1"/>
  <c r="G40" i="2"/>
  <c r="M40" i="2" s="1"/>
  <c r="R39" i="2"/>
  <c r="L39" i="2"/>
  <c r="M39" i="2" s="1"/>
  <c r="J39" i="2"/>
  <c r="K39" i="2" s="1"/>
  <c r="P39" i="2" s="1"/>
  <c r="G39" i="2"/>
  <c r="R38" i="2"/>
  <c r="L38" i="2"/>
  <c r="M38" i="2" s="1"/>
  <c r="J38" i="2"/>
  <c r="K38" i="2" s="1"/>
  <c r="P38" i="2" s="1"/>
  <c r="G38" i="2"/>
  <c r="R37" i="2"/>
  <c r="L37" i="2"/>
  <c r="J37" i="2"/>
  <c r="K37" i="2" s="1"/>
  <c r="P37" i="2" s="1"/>
  <c r="G37" i="2"/>
  <c r="M37" i="2" s="1"/>
  <c r="O37" i="2" s="1"/>
  <c r="R36" i="2"/>
  <c r="L36" i="2"/>
  <c r="J36" i="2"/>
  <c r="K36" i="2" s="1"/>
  <c r="P36" i="2" s="1"/>
  <c r="G36" i="2"/>
  <c r="M36" i="2" s="1"/>
  <c r="R35" i="2"/>
  <c r="L35" i="2"/>
  <c r="M35" i="2" s="1"/>
  <c r="J35" i="2"/>
  <c r="K35" i="2" s="1"/>
  <c r="P35" i="2" s="1"/>
  <c r="G35" i="2"/>
  <c r="R34" i="2"/>
  <c r="L34" i="2"/>
  <c r="M34" i="2" s="1"/>
  <c r="J34" i="2"/>
  <c r="K34" i="2" s="1"/>
  <c r="P34" i="2" s="1"/>
  <c r="G34" i="2"/>
  <c r="R33" i="2"/>
  <c r="L33" i="2"/>
  <c r="J33" i="2"/>
  <c r="K33" i="2" s="1"/>
  <c r="P33" i="2" s="1"/>
  <c r="G33" i="2"/>
  <c r="M33" i="2" s="1"/>
  <c r="O33" i="2" s="1"/>
  <c r="R32" i="2"/>
  <c r="P32" i="2"/>
  <c r="L32" i="2"/>
  <c r="J32" i="2"/>
  <c r="K32" i="2" s="1"/>
  <c r="G32" i="2"/>
  <c r="M32" i="2" s="1"/>
  <c r="R31" i="2"/>
  <c r="L31" i="2"/>
  <c r="M31" i="2" s="1"/>
  <c r="J31" i="2"/>
  <c r="K31" i="2" s="1"/>
  <c r="P31" i="2" s="1"/>
  <c r="G31" i="2"/>
  <c r="R30" i="2"/>
  <c r="E10" i="7" s="1"/>
  <c r="L30" i="2"/>
  <c r="M30" i="2" s="1"/>
  <c r="J30" i="2"/>
  <c r="K30" i="2" s="1"/>
  <c r="P30" i="2" s="1"/>
  <c r="G30" i="2"/>
  <c r="R29" i="2"/>
  <c r="L29" i="2"/>
  <c r="J29" i="2"/>
  <c r="K29" i="2" s="1"/>
  <c r="P29" i="2" s="1"/>
  <c r="G29" i="2"/>
  <c r="M29" i="2" s="1"/>
  <c r="O29" i="2" s="1"/>
  <c r="R28" i="2"/>
  <c r="L28" i="2"/>
  <c r="J28" i="2"/>
  <c r="K28" i="2" s="1"/>
  <c r="P28" i="2" s="1"/>
  <c r="G28" i="2"/>
  <c r="M28" i="2" s="1"/>
  <c r="R27" i="2"/>
  <c r="L27" i="2"/>
  <c r="M27" i="2" s="1"/>
  <c r="J27" i="2"/>
  <c r="K27" i="2" s="1"/>
  <c r="P27" i="2" s="1"/>
  <c r="G27" i="2"/>
  <c r="R26" i="2"/>
  <c r="L26" i="2"/>
  <c r="M26" i="2" s="1"/>
  <c r="J26" i="2"/>
  <c r="K26" i="2" s="1"/>
  <c r="P26" i="2" s="1"/>
  <c r="G26" i="2"/>
  <c r="R25" i="2"/>
  <c r="L25" i="2"/>
  <c r="J25" i="2"/>
  <c r="K25" i="2" s="1"/>
  <c r="P25" i="2" s="1"/>
  <c r="G25" i="2"/>
  <c r="R24" i="2"/>
  <c r="P24" i="2"/>
  <c r="L24" i="2"/>
  <c r="J24" i="2"/>
  <c r="K24" i="2" s="1"/>
  <c r="G24" i="2"/>
  <c r="M24" i="2" s="1"/>
  <c r="O24" i="2" s="1"/>
  <c r="R23" i="2"/>
  <c r="L23" i="2"/>
  <c r="M23" i="2" s="1"/>
  <c r="J23" i="2"/>
  <c r="K23" i="2" s="1"/>
  <c r="P23" i="2" s="1"/>
  <c r="G23" i="2"/>
  <c r="R22" i="2"/>
  <c r="E9" i="7" s="1"/>
  <c r="L22" i="2"/>
  <c r="M22" i="2" s="1"/>
  <c r="J22" i="2"/>
  <c r="K22" i="2" s="1"/>
  <c r="P22" i="2" s="1"/>
  <c r="G22" i="2"/>
  <c r="R21" i="2"/>
  <c r="L21" i="2"/>
  <c r="J21" i="2"/>
  <c r="K21" i="2" s="1"/>
  <c r="P21" i="2" s="1"/>
  <c r="G21" i="2"/>
  <c r="M21" i="2" s="1"/>
  <c r="O21" i="2" s="1"/>
  <c r="R20" i="2"/>
  <c r="P20" i="2"/>
  <c r="L20" i="2"/>
  <c r="J20" i="2"/>
  <c r="K20" i="2" s="1"/>
  <c r="G20" i="2"/>
  <c r="M20" i="2" s="1"/>
  <c r="O20" i="2" s="1"/>
  <c r="R19" i="2"/>
  <c r="L19" i="2"/>
  <c r="M19" i="2" s="1"/>
  <c r="J19" i="2"/>
  <c r="K19" i="2" s="1"/>
  <c r="P19" i="2" s="1"/>
  <c r="G19" i="2"/>
  <c r="R18" i="2"/>
  <c r="L18" i="2"/>
  <c r="M18" i="2" s="1"/>
  <c r="J18" i="2"/>
  <c r="K18" i="2" s="1"/>
  <c r="P18" i="2" s="1"/>
  <c r="G18" i="2"/>
  <c r="R17" i="2"/>
  <c r="L17" i="2"/>
  <c r="J17" i="2"/>
  <c r="K17" i="2" s="1"/>
  <c r="P17" i="2" s="1"/>
  <c r="G17" i="2"/>
  <c r="R16" i="2"/>
  <c r="P16" i="2"/>
  <c r="L16" i="2"/>
  <c r="J16" i="2"/>
  <c r="K16" i="2" s="1"/>
  <c r="G16" i="2"/>
  <c r="M16" i="2" s="1"/>
  <c r="O16" i="2" s="1"/>
  <c r="R15" i="2"/>
  <c r="L15" i="2"/>
  <c r="M15" i="2" s="1"/>
  <c r="J15" i="2"/>
  <c r="K15" i="2" s="1"/>
  <c r="P15" i="2" s="1"/>
  <c r="G15" i="2"/>
  <c r="R14" i="2"/>
  <c r="E8" i="7" s="1"/>
  <c r="L14" i="2"/>
  <c r="M14" i="2" s="1"/>
  <c r="J14" i="2"/>
  <c r="K14" i="2" s="1"/>
  <c r="P14" i="2" s="1"/>
  <c r="G14" i="2"/>
  <c r="R13" i="2"/>
  <c r="L13" i="2"/>
  <c r="J13" i="2"/>
  <c r="K13" i="2" s="1"/>
  <c r="P13" i="2" s="1"/>
  <c r="G13" i="2"/>
  <c r="R12" i="2"/>
  <c r="P12" i="2"/>
  <c r="L12" i="2"/>
  <c r="J12" i="2"/>
  <c r="K12" i="2" s="1"/>
  <c r="G12" i="2"/>
  <c r="M12" i="2" s="1"/>
  <c r="O12" i="2" s="1"/>
  <c r="R11" i="2"/>
  <c r="L11" i="2"/>
  <c r="M11" i="2" s="1"/>
  <c r="J11" i="2"/>
  <c r="K11" i="2" s="1"/>
  <c r="P11" i="2" s="1"/>
  <c r="G11" i="2"/>
  <c r="R10" i="2"/>
  <c r="L10" i="2"/>
  <c r="M10" i="2" s="1"/>
  <c r="J10" i="2"/>
  <c r="K10" i="2" s="1"/>
  <c r="P10" i="2" s="1"/>
  <c r="G10" i="2"/>
  <c r="R9" i="2"/>
  <c r="L9" i="2"/>
  <c r="J9" i="2"/>
  <c r="K9" i="2" s="1"/>
  <c r="P9" i="2" s="1"/>
  <c r="G9" i="2"/>
  <c r="R8" i="2"/>
  <c r="P8" i="2"/>
  <c r="L8" i="2"/>
  <c r="J8" i="2"/>
  <c r="K8" i="2" s="1"/>
  <c r="G8" i="2"/>
  <c r="M8" i="2" s="1"/>
  <c r="O8" i="2" s="1"/>
  <c r="R7" i="2"/>
  <c r="L7" i="2"/>
  <c r="M7" i="2" s="1"/>
  <c r="J7" i="2"/>
  <c r="K7" i="2" s="1"/>
  <c r="P7" i="2" s="1"/>
  <c r="G7" i="2"/>
  <c r="R6" i="2"/>
  <c r="E7" i="7" s="1"/>
  <c r="L6" i="2"/>
  <c r="M6" i="2" s="1"/>
  <c r="J6" i="2"/>
  <c r="K6" i="2" s="1"/>
  <c r="P6" i="2" s="1"/>
  <c r="G6" i="2"/>
  <c r="K32" i="1"/>
  <c r="K31" i="1"/>
  <c r="K30" i="1"/>
  <c r="K29" i="1"/>
  <c r="K28" i="1"/>
  <c r="V24" i="1"/>
  <c r="V23" i="1"/>
  <c r="S23" i="1"/>
  <c r="M23" i="1"/>
  <c r="J23" i="1"/>
  <c r="G23" i="1"/>
  <c r="D23" i="1"/>
  <c r="AB22" i="1"/>
  <c r="Y22" i="1"/>
  <c r="V22" i="1"/>
  <c r="S22" i="1"/>
  <c r="M22" i="1"/>
  <c r="G22" i="1"/>
  <c r="D22" i="1"/>
  <c r="Y21" i="1"/>
  <c r="V21" i="1"/>
  <c r="S21" i="1"/>
  <c r="M21" i="1"/>
  <c r="J21" i="1"/>
  <c r="G21" i="1"/>
  <c r="D21" i="1"/>
  <c r="Y20" i="1"/>
  <c r="V20" i="1"/>
  <c r="S20" i="1"/>
  <c r="M20" i="1"/>
  <c r="J20" i="1"/>
  <c r="G20" i="1"/>
  <c r="D20" i="1"/>
  <c r="AB19" i="1"/>
  <c r="Y19" i="1"/>
  <c r="V19" i="1"/>
  <c r="S19" i="1"/>
  <c r="M19" i="1"/>
  <c r="J19" i="1"/>
  <c r="G19" i="1"/>
  <c r="D19" i="1"/>
  <c r="AB18" i="1"/>
  <c r="Y18" i="1"/>
  <c r="V18" i="1"/>
  <c r="S18" i="1"/>
  <c r="M18" i="1"/>
  <c r="J18" i="1"/>
  <c r="G18" i="1"/>
  <c r="D18" i="1"/>
  <c r="Y17" i="1"/>
  <c r="V17" i="1"/>
  <c r="S17" i="1"/>
  <c r="M17" i="1"/>
  <c r="J17" i="1"/>
  <c r="G17" i="1"/>
  <c r="D17" i="1"/>
  <c r="Y16" i="1"/>
  <c r="V16" i="1"/>
  <c r="S16" i="1"/>
  <c r="M16" i="1"/>
  <c r="M24" i="1" s="1"/>
  <c r="J16" i="1"/>
  <c r="G16" i="1"/>
  <c r="G24" i="1" s="1"/>
  <c r="D16" i="1"/>
  <c r="D24" i="1" s="1"/>
  <c r="N31" i="1" l="1"/>
  <c r="E11" i="7"/>
  <c r="O53" i="2"/>
  <c r="N53" i="2"/>
  <c r="Q53" i="2" s="1"/>
  <c r="O57" i="2"/>
  <c r="P19" i="1"/>
  <c r="AE19" i="1" s="1"/>
  <c r="N57" i="2"/>
  <c r="Q57" i="2" s="1"/>
  <c r="O61" i="2"/>
  <c r="P23" i="1"/>
  <c r="N61" i="2"/>
  <c r="K33" i="1"/>
  <c r="N33" i="1" s="1"/>
  <c r="M9" i="2"/>
  <c r="M17" i="2"/>
  <c r="M25" i="2"/>
  <c r="N55" i="2"/>
  <c r="Q55" i="2" s="1"/>
  <c r="O55" i="2"/>
  <c r="P17" i="1"/>
  <c r="AE17" i="1" s="1"/>
  <c r="N59" i="2"/>
  <c r="Q59" i="2" s="1"/>
  <c r="O59" i="2"/>
  <c r="P21" i="1"/>
  <c r="AE21" i="1" s="1"/>
  <c r="N12" i="2"/>
  <c r="Q12" i="2" s="1"/>
  <c r="N20" i="2"/>
  <c r="Q20" i="2" s="1"/>
  <c r="O30" i="2"/>
  <c r="N30" i="2"/>
  <c r="Q30" i="2" s="1"/>
  <c r="D10" i="7"/>
  <c r="O36" i="2"/>
  <c r="N36" i="2"/>
  <c r="Q36" i="2" s="1"/>
  <c r="N37" i="2"/>
  <c r="Q37" i="2" s="1"/>
  <c r="O39" i="2"/>
  <c r="N39" i="2"/>
  <c r="Q39" i="2" s="1"/>
  <c r="O46" i="2"/>
  <c r="N46" i="2"/>
  <c r="Q46" i="2" s="1"/>
  <c r="D12" i="7"/>
  <c r="I12" i="7" s="1"/>
  <c r="O52" i="2"/>
  <c r="N52" i="2"/>
  <c r="Q52" i="2" s="1"/>
  <c r="O56" i="2"/>
  <c r="P18" i="1"/>
  <c r="AE18" i="1" s="1"/>
  <c r="N56" i="2"/>
  <c r="O60" i="2"/>
  <c r="P22" i="1"/>
  <c r="N60" i="2"/>
  <c r="I10" i="7"/>
  <c r="N28" i="1"/>
  <c r="O6" i="2"/>
  <c r="N6" i="2"/>
  <c r="Q6" i="2" s="1"/>
  <c r="N11" i="2"/>
  <c r="Q11" i="2" s="1"/>
  <c r="O11" i="2"/>
  <c r="O14" i="2"/>
  <c r="N14" i="2"/>
  <c r="Q14" i="2" s="1"/>
  <c r="D8" i="7"/>
  <c r="O19" i="2"/>
  <c r="N19" i="2"/>
  <c r="Q19" i="2" s="1"/>
  <c r="O22" i="2"/>
  <c r="N22" i="2"/>
  <c r="Q22" i="2" s="1"/>
  <c r="D9" i="7"/>
  <c r="H9" i="7" s="1"/>
  <c r="N27" i="2"/>
  <c r="O27" i="2"/>
  <c r="O34" i="2"/>
  <c r="N34" i="2"/>
  <c r="Q34" i="2" s="1"/>
  <c r="O40" i="2"/>
  <c r="N40" i="2"/>
  <c r="N41" i="2"/>
  <c r="Q41" i="2" s="1"/>
  <c r="O43" i="2"/>
  <c r="N43" i="2"/>
  <c r="O50" i="2"/>
  <c r="N50" i="2"/>
  <c r="M13" i="2"/>
  <c r="O58" i="2"/>
  <c r="P20" i="1"/>
  <c r="AE20" i="1" s="1"/>
  <c r="N58" i="2"/>
  <c r="N29" i="1"/>
  <c r="I8" i="7"/>
  <c r="O54" i="2"/>
  <c r="P16" i="1"/>
  <c r="N54" i="2"/>
  <c r="Y24" i="1"/>
  <c r="Q7" i="1"/>
  <c r="N30" i="1"/>
  <c r="N8" i="2"/>
  <c r="Q8" i="2" s="1"/>
  <c r="N16" i="2"/>
  <c r="Q16" i="2" s="1"/>
  <c r="N24" i="2"/>
  <c r="Q24" i="2" s="1"/>
  <c r="O28" i="2"/>
  <c r="N28" i="2"/>
  <c r="N29" i="2"/>
  <c r="Q29" i="2" s="1"/>
  <c r="N31" i="2"/>
  <c r="Q31" i="2" s="1"/>
  <c r="O31" i="2"/>
  <c r="O38" i="2"/>
  <c r="N38" i="2"/>
  <c r="D11" i="7"/>
  <c r="O44" i="2"/>
  <c r="N44" i="2"/>
  <c r="N45" i="2"/>
  <c r="Q45" i="2" s="1"/>
  <c r="N47" i="2"/>
  <c r="Q47" i="2" s="1"/>
  <c r="O47" i="2"/>
  <c r="I13" i="7"/>
  <c r="N32" i="1"/>
  <c r="N7" i="2"/>
  <c r="O7" i="2"/>
  <c r="O10" i="2"/>
  <c r="N10" i="2"/>
  <c r="Q10" i="2" s="1"/>
  <c r="N15" i="2"/>
  <c r="Q15" i="2" s="1"/>
  <c r="O15" i="2"/>
  <c r="O18" i="2"/>
  <c r="N18" i="2"/>
  <c r="N21" i="2"/>
  <c r="Q21" i="2" s="1"/>
  <c r="N23" i="2"/>
  <c r="Q23" i="2" s="1"/>
  <c r="O23" i="2"/>
  <c r="O26" i="2"/>
  <c r="N26" i="2"/>
  <c r="Q26" i="2" s="1"/>
  <c r="O32" i="2"/>
  <c r="N32" i="2"/>
  <c r="Q32" i="2" s="1"/>
  <c r="N33" i="2"/>
  <c r="Q33" i="2" s="1"/>
  <c r="N35" i="2"/>
  <c r="O35" i="2"/>
  <c r="O42" i="2"/>
  <c r="N42" i="2"/>
  <c r="Q42" i="2" s="1"/>
  <c r="O48" i="2"/>
  <c r="N48" i="2"/>
  <c r="N49" i="2"/>
  <c r="Q49" i="2" s="1"/>
  <c r="N51" i="2"/>
  <c r="O51" i="2"/>
  <c r="P61" i="2"/>
  <c r="Y23" i="1"/>
  <c r="J22" i="1"/>
  <c r="J24" i="1" s="1"/>
  <c r="AB23" i="1"/>
  <c r="B7" i="7"/>
  <c r="B8" i="7"/>
  <c r="B9" i="7"/>
  <c r="B10" i="7"/>
  <c r="B11" i="7"/>
  <c r="B12" i="7"/>
  <c r="B13" i="7"/>
  <c r="AB16" i="1"/>
  <c r="AB20" i="1"/>
  <c r="C7" i="7"/>
  <c r="C8" i="7"/>
  <c r="C9" i="7"/>
  <c r="C10" i="7"/>
  <c r="C11" i="7"/>
  <c r="C12" i="7"/>
  <c r="C13" i="7"/>
  <c r="D13" i="7"/>
  <c r="AB17" i="1"/>
  <c r="AB21" i="1"/>
  <c r="F7" i="7"/>
  <c r="F8" i="7"/>
  <c r="F9" i="7"/>
  <c r="F10" i="7"/>
  <c r="F11" i="7"/>
  <c r="F12" i="7"/>
  <c r="F13" i="7"/>
  <c r="G7" i="7"/>
  <c r="G8" i="7"/>
  <c r="G9" i="7"/>
  <c r="J9" i="7" s="1"/>
  <c r="G10" i="7"/>
  <c r="G11" i="7"/>
  <c r="G12" i="7"/>
  <c r="J12" i="7" s="1"/>
  <c r="G13" i="7"/>
  <c r="P24" i="1" l="1"/>
  <c r="A7" i="1"/>
  <c r="AE16" i="1"/>
  <c r="O13" i="2"/>
  <c r="N13" i="2"/>
  <c r="Q13" i="2" s="1"/>
  <c r="J8" i="7"/>
  <c r="Q35" i="2"/>
  <c r="Q7" i="2"/>
  <c r="H11" i="7"/>
  <c r="O25" i="2"/>
  <c r="N25" i="2"/>
  <c r="J7" i="7"/>
  <c r="Q51" i="2"/>
  <c r="Q18" i="2"/>
  <c r="Q38" i="2"/>
  <c r="Q50" i="2"/>
  <c r="H8" i="7"/>
  <c r="O17" i="2"/>
  <c r="N17" i="2"/>
  <c r="O9" i="2"/>
  <c r="N9" i="2"/>
  <c r="Q9" i="2" s="1"/>
  <c r="J13" i="7"/>
  <c r="H13" i="7"/>
  <c r="K13" i="7" s="1"/>
  <c r="Q48" i="2"/>
  <c r="Q58" i="2"/>
  <c r="Q43" i="2"/>
  <c r="Q27" i="2"/>
  <c r="Q60" i="2"/>
  <c r="AB24" i="1"/>
  <c r="AE22" i="1"/>
  <c r="H12" i="7"/>
  <c r="K12" i="7" s="1"/>
  <c r="H10" i="7"/>
  <c r="Q61" i="2"/>
  <c r="I11" i="7"/>
  <c r="AE23" i="1"/>
  <c r="J11" i="7"/>
  <c r="J10" i="7"/>
  <c r="Q44" i="2"/>
  <c r="Q28" i="2"/>
  <c r="Q54" i="2"/>
  <c r="I9" i="7"/>
  <c r="K9" i="7" s="1"/>
  <c r="Q40" i="2"/>
  <c r="D7" i="7"/>
  <c r="Q56" i="2"/>
  <c r="I7" i="1"/>
  <c r="Q9" i="7" l="1"/>
  <c r="N9" i="7"/>
  <c r="M9" i="7"/>
  <c r="Q13" i="7"/>
  <c r="N13" i="7"/>
  <c r="M13" i="7"/>
  <c r="Q12" i="7"/>
  <c r="N12" i="7"/>
  <c r="M12" i="7"/>
  <c r="H7" i="7"/>
  <c r="I7" i="7"/>
  <c r="Q17" i="2"/>
  <c r="Q25" i="2"/>
  <c r="Y7" i="1"/>
  <c r="K10" i="7"/>
  <c r="K8" i="7"/>
  <c r="K11" i="7"/>
  <c r="Q8" i="7" l="1"/>
  <c r="N8" i="7"/>
  <c r="M8" i="7"/>
  <c r="Q10" i="7"/>
  <c r="N10" i="7"/>
  <c r="M10" i="7"/>
  <c r="A39" i="1"/>
  <c r="AE24" i="1"/>
  <c r="K7" i="7"/>
  <c r="Q11" i="7"/>
  <c r="N11" i="7"/>
  <c r="M11" i="7"/>
  <c r="Q7" i="7" l="1"/>
  <c r="N7" i="7"/>
  <c r="M7" i="7"/>
</calcChain>
</file>

<file path=xl/sharedStrings.xml><?xml version="1.0" encoding="utf-8"?>
<sst xmlns="http://schemas.openxmlformats.org/spreadsheetml/2006/main" count="1253" uniqueCount="202">
  <si>
    <t>INVA</t>
  </si>
  <si>
    <t>MAX</t>
  </si>
  <si>
    <t>OEE TRACKING FORM</t>
  </si>
  <si>
    <t>NGÀY</t>
  </si>
  <si>
    <t>CA</t>
  </si>
  <si>
    <t>Ca 1</t>
  </si>
  <si>
    <t>MÃ MÁY</t>
  </si>
  <si>
    <t>MAY-01</t>
  </si>
  <si>
    <t>THEO DÕI HIỆU SUẤT THIẾT BỊ | INVAMAX</t>
  </si>
  <si>
    <t>SP</t>
  </si>
  <si>
    <t>SP-A</t>
  </si>
  <si>
    <t>MỤC TIÊU OEE</t>
  </si>
  <si>
    <t>A • AVAILABILITY</t>
  </si>
  <si>
    <t>P • PERFORMANCE</t>
  </si>
  <si>
    <t>Q • QUALITY</t>
  </si>
  <si>
    <t>OEE • TỔNG HIỆU SUẤT</t>
  </si>
  <si>
    <t>Run time / Planned production time</t>
  </si>
  <si>
    <t>Ideal time / Run time</t>
  </si>
  <si>
    <t>Good count / Total count</t>
  </si>
  <si>
    <t>Availability × Performance × Quality</t>
  </si>
  <si>
    <t>BỘ LỌC: ngày / ca / máy ở góc trên phải  •  Ô xanh nhạt: có thể nhập  •  Ô xanh lục: công thức  •  DỮ LIỆU MẪU</t>
  </si>
  <si>
    <t>⚙  DỮ LIỆU SẢN XUẤT THEO GIỜ / CA</t>
  </si>
  <si>
    <t>Giờ</t>
  </si>
  <si>
    <t>Phút ca</t>
  </si>
  <si>
    <t>Nghỉ KH</t>
  </si>
  <si>
    <t>PPT (phút)</t>
  </si>
  <si>
    <t>Dừng máy</t>
  </si>
  <si>
    <t>Run (phút)</t>
  </si>
  <si>
    <t>Cycle (s/sp)</t>
  </si>
  <si>
    <t>Tổng SP</t>
  </si>
  <si>
    <t>SP đạt</t>
  </si>
  <si>
    <t>SP lỗi</t>
  </si>
  <si>
    <t>OEE</t>
  </si>
  <si>
    <t>06:00 - 07:00</t>
  </si>
  <si>
    <t>07:00 - 08:00</t>
  </si>
  <si>
    <t>08:00 - 09:00</t>
  </si>
  <si>
    <t>09:00 - 10:00</t>
  </si>
  <si>
    <t>10:00 - 11:00</t>
  </si>
  <si>
    <t>11:00 - 12:00</t>
  </si>
  <si>
    <t>12:00 - 13:00</t>
  </si>
  <si>
    <t>13:00 - 14:00</t>
  </si>
  <si>
    <t>TỔNG</t>
  </si>
  <si>
    <t>—</t>
  </si>
  <si>
    <t>PHÂN TÍCH TỔN THẤT / DỪNG MÁY</t>
  </si>
  <si>
    <t>XU HƯỚNG OEE THEO NGÀY</t>
  </si>
  <si>
    <t>STT</t>
  </si>
  <si>
    <t>Nhóm tổn thất</t>
  </si>
  <si>
    <t>Phút</t>
  </si>
  <si>
    <t>% dừng</t>
  </si>
  <si>
    <t>Hỏng hóc thiết bị</t>
  </si>
  <si>
    <t>Thiết lập / đổi mã</t>
  </si>
  <si>
    <t>Chờ nguyên vật liệu</t>
  </si>
  <si>
    <t>Dừng nhỏ</t>
  </si>
  <si>
    <t>Khởi động</t>
  </si>
  <si>
    <t>TỔNG THỜI GIAN DỪNG</t>
  </si>
  <si>
    <t>GHI NHỚ OEE: Nghỉ kế hoạch không tính vào PPT. Dừng máy không kế hoạch làm giảm Availability. Giảm tốc độ làm giảm Performance. Hàng NG làm giảm Quality. Không cộng trùng các tổn thất.</t>
  </si>
  <si>
    <t>KẾ HOẠCH CẢI TIẾN / ACTION PLAN</t>
  </si>
  <si>
    <t>Vấn đề / tổn thất</t>
  </si>
  <si>
    <t>Hành động cải tiến</t>
  </si>
  <si>
    <t>Phụ trách</t>
  </si>
  <si>
    <t>Hạn</t>
  </si>
  <si>
    <t>Trạng thái</t>
  </si>
  <si>
    <t>LƯU Ý: Đây là dữ liệu MẪU để minh họa cách vận hành Excel, không phải kết quả thực tế của nhà máy hay thành tích INVAMAX. Thay dữ liệu tại Production Data, Downtime Log và Quality Data để các chỉ tiêu tự cập nhật.</t>
  </si>
  <si>
    <t>INVAMAX  •  FACTORY OPERATING MODEL TRANSFORMATION     |     TÀI LIỆU VẬN HÀNH NỘI BỘ / BIỂU MẪU THAM KHẢO</t>
  </si>
  <si>
    <t>PRODUCTION DATA • DỮ LIỆU SẢN XUẤT</t>
  </si>
  <si>
    <t>Ô xanh lam: nhập liệu; ô xanh lục rất nhạt: công thức. Không sửa các cột tính toán. Ví dụ 7 ngày, Ca 1, MAY-01.</t>
  </si>
  <si>
    <t>Ngày</t>
  </si>
  <si>
    <t>Ca</t>
  </si>
  <si>
    <t>Máy</t>
  </si>
  <si>
    <t>Khung giờ</t>
  </si>
  <si>
    <t>Nghỉ kế hoạch</t>
  </si>
  <si>
    <t>Planned Production (phút)</t>
  </si>
  <si>
    <t>Ideal Cycle (giây/SP)</t>
  </si>
  <si>
    <t>NG từ Quality Data</t>
  </si>
  <si>
    <t>Dừng ngoài KH (phút)</t>
  </si>
  <si>
    <t>Run time (phút)</t>
  </si>
  <si>
    <t>Availability</t>
  </si>
  <si>
    <t>Performance</t>
  </si>
  <si>
    <t>Quality</t>
  </si>
  <si>
    <t>Ideal time (giây)</t>
  </si>
  <si>
    <t>Ghi chú</t>
  </si>
  <si>
    <t>DỮ LIỆU VÍ DỤ</t>
  </si>
  <si>
    <t>DOWNTIME LOG • NHẬT KÝ DỪNG MÁY</t>
  </si>
  <si>
    <t>Chỉ nhập dừng máy không kế hoạch. Không ghi trùng và không nhập nghỉ giải lao vào nhật ký này.</t>
  </si>
  <si>
    <t>Mã tổn thất</t>
  </si>
  <si>
    <t>Nhóm / hiện tượng</t>
  </si>
  <si>
    <t>Phút dừng</t>
  </si>
  <si>
    <t>Nguyên nhân &amp; đối sách</t>
  </si>
  <si>
    <t>BRK</t>
  </si>
  <si>
    <t>Kẹt cơ cấu cấp phôi</t>
  </si>
  <si>
    <t>Khắc phục, tiếp tục chạy</t>
  </si>
  <si>
    <t>Tổ vận hành</t>
  </si>
  <si>
    <t>SET</t>
  </si>
  <si>
    <t>Thay đổi mã hàng / chỉnh máy</t>
  </si>
  <si>
    <t>WAIT</t>
  </si>
  <si>
    <t>Chờ vật tư đầu vào</t>
  </si>
  <si>
    <t>MIN</t>
  </si>
  <si>
    <t>Dừng ngắn để căn chỉnh</t>
  </si>
  <si>
    <t>START</t>
  </si>
  <si>
    <t>Mất thời gian khởi động</t>
  </si>
  <si>
    <t>QUALITY DATA • DỮ LIỆU CHẤT LƯỢNG</t>
  </si>
  <si>
    <t>Nhập lỗi theo ngày – ca – máy – khung giờ. Một khung giờ có thể có nhiều dòng lỗi; tổng NG được liên kết tự động.</t>
  </si>
  <si>
    <t>Mã lỗi</t>
  </si>
  <si>
    <t>Số lượng NG</t>
  </si>
  <si>
    <t>Diễn giải lỗi</t>
  </si>
  <si>
    <t>NG-KT</t>
  </si>
  <si>
    <t>Lỗi ngoại quan / kích thước</t>
  </si>
  <si>
    <t>DANH MỤC MÁY / THIẾT BỊ</t>
  </si>
  <si>
    <t>Chu kỳ lý tưởng: giây/sản phẩm. Hãy cập nhật theo máy, mã hàng và điều kiện sản xuất.</t>
  </si>
  <si>
    <t>Mã máy</t>
  </si>
  <si>
    <t>Tên máy / dây chuyền</t>
  </si>
  <si>
    <t>Sản phẩm</t>
  </si>
  <si>
    <t>Ideal Cycle (giây/sp)</t>
  </si>
  <si>
    <t>Ca mặc định</t>
  </si>
  <si>
    <t>Dây chuyền bút chì A</t>
  </si>
  <si>
    <t>Ví dụ minh họa</t>
  </si>
  <si>
    <t>MAY-02</t>
  </si>
  <si>
    <t>Dây chuyền bút chì B</t>
  </si>
  <si>
    <t>SP-B</t>
  </si>
  <si>
    <t>Chưa có dữ liệu mẫu</t>
  </si>
  <si>
    <t>DANH MỤC MÃ TỔN THẤT</t>
  </si>
  <si>
    <t>Quy ước mẫu: mọi phút trong Downtime Log là dừng máy không kế hoạch; nghỉ giải lao nhập trong Production Data.</t>
  </si>
  <si>
    <t>Mã</t>
  </si>
  <si>
    <t>Thành phần OEE</t>
  </si>
  <si>
    <t>Đơn vị đo</t>
  </si>
  <si>
    <t>Cách ghi nhận</t>
  </si>
  <si>
    <t>Dừng ngoài kế hoạch</t>
  </si>
  <si>
    <t>Dừng máy do lỗi kỹ thuật</t>
  </si>
  <si>
    <t>Setup/changeover trong kế hoạch sản xuất</t>
  </si>
  <si>
    <t>Thiếu đầu vào trong thời gian sản xuất</t>
  </si>
  <si>
    <t>Mất khả năng chạy ngắn; định nghĩa theo nhà máy</t>
  </si>
  <si>
    <t>Thời gian máy sẵn sàng nhưng chưa chạy</t>
  </si>
  <si>
    <t>SCRAP</t>
  </si>
  <si>
    <t>Sản phẩm lỗi</t>
  </si>
  <si>
    <t>Không trừ lại vào downtime</t>
  </si>
  <si>
    <t>SPEED</t>
  </si>
  <si>
    <t>Giảm tốc độ</t>
  </si>
  <si>
    <t>Chênh lệch sản lượng chuẩn</t>
  </si>
  <si>
    <t>Tính từ cycle time và runtime</t>
  </si>
  <si>
    <t>OEE SUMMARY • TỔNG HỢP 7 NGÀY</t>
  </si>
  <si>
    <t>Liên kết bộ lọc ngày / ca / máy từ OEE Dashboard. Dữ liệu minh họa, không phải kết quả thực tế.</t>
  </si>
  <si>
    <t>Dừng (phút)</t>
  </si>
  <si>
    <t>Mục tiêu</t>
  </si>
  <si>
    <t>Chênh lệch</t>
  </si>
  <si>
    <t>Đánh giá</t>
  </si>
  <si>
    <t>Ngày (nhãn)</t>
  </si>
  <si>
    <t>OEE (%)</t>
  </si>
  <si>
    <t>DIỄN GIẢI CHỈ SỐ</t>
  </si>
  <si>
    <t>Availability = Run / PPT</t>
  </si>
  <si>
    <t>PPT = Tổng thời gian theo ca – Nghỉ theo kế hoạch. Run = PPT – Dừng ngoài kế hoạch.</t>
  </si>
  <si>
    <t>Performance = Ideal / Run</t>
  </si>
  <si>
    <t>Ideal (phút) = Chu kỳ lý tưởng (giây/SP) × Tổng SP / 60. Đừng dùng tốc độ thiết kế nếu mã hàng thay đổi.</t>
  </si>
  <si>
    <t>Quality = Good / Total</t>
  </si>
  <si>
    <t>Good = Tổng SP – số lượng lỗi. Quality Data tổng hợp lỗi theo ngày / ca / máy / khung giờ.</t>
  </si>
  <si>
    <t>OEE = Availability × Performance × Quality</t>
  </si>
  <si>
    <t>Các tỷ số là số thập phân và định dạng hiển thị %. So với mục tiêu trên Dashboard.</t>
  </si>
  <si>
    <t>Hạn chế sai lệch</t>
  </si>
  <si>
    <t>Nếu Performance &gt;100%, kiểm tra lại chu kỳ lý tưởng, đếm sản lượng, và thời gian chạy.</t>
  </si>
  <si>
    <t>HƯỚNG DẪN SỬ DỤNG INVAMAX OEE</t>
  </si>
  <si>
    <t>Phiên bản Excel sử dụng công thức. Dữ liệu mẫu để thử nghiệm — vui lòng thay bằng số liệu thực tế của nhà máy.</t>
  </si>
  <si>
    <t>1 / QUY TRÌNH NHẬP DỮ LIỆU</t>
  </si>
  <si>
    <t>Bước 1 – Danh mục máy</t>
  </si>
  <si>
    <t>Cập nhật Machine Master với mã máy, sản phẩm và chu kỳ lý tưởng. Chọn mã máy trên Dashboard.</t>
  </si>
  <si>
    <t>Bước 2 – Sản xuất</t>
  </si>
  <si>
    <t>Nhập Production Data: ngày, ca, máy, khung giờ, phút ca, nghỉ theo kế hoạch, chu kỳ lý tưởng, tổng sản lượng. Không nhập các cột công thức.</t>
  </si>
  <si>
    <t>Bước 3 – Dừng máy</t>
  </si>
  <si>
    <t>Nhập Downtime Log: mỗi sự kiện một dòng với ngày, ca, máy, khung giờ, mã tổn thất và số phút dừng.</t>
  </si>
  <si>
    <t>Bước 4 – Chất lượng</t>
  </si>
  <si>
    <t>Nhập Quality Data: số sản phẩm NG theo từng khung giờ. Nếu có nhiều loại lỗi cùng giờ, nhập nhiều dòng.</t>
  </si>
  <si>
    <t>Bước 5 – Dashboard</t>
  </si>
  <si>
    <t>Đổi ngày, ca và mã máy tại Dashboard. KPI, bảng giờ, tổn thất và biểu đồ 7 ngày sẽ tự cập nhật.</t>
  </si>
  <si>
    <t>Bước 6 – Đối sách</t>
  </si>
  <si>
    <t>Nhập kế hoạch cải tiến phía dưới Dashboard; đặt người phụ trách, thời hạn và trạng thái.</t>
  </si>
  <si>
    <t>2 / CÔNG THỨC OEE CHUẨN</t>
  </si>
  <si>
    <t>Planned Production Time</t>
  </si>
  <si>
    <t>PPT (phút) = Thời gian ca − Nghỉ dừng theo kế hoạch. Khung giờ 60 phút có nghỉ 30 phút chỉ tạo 30 phút PPT.</t>
  </si>
  <si>
    <t>Run Time</t>
  </si>
  <si>
    <t>Run (phút) = PPT − Dừng máy ngoài kế hoạch. Không trừ thời gian nghỉ 2 lần.</t>
  </si>
  <si>
    <t>A = Run Time / PPT.</t>
  </si>
  <si>
    <t>P = (Ideal Cycle Time (giây/SP) × Total Count) / (Run Time (phút) × 60).</t>
  </si>
  <si>
    <t>Q = Good Count / Total Count. Good Count = Total Count − NG Count.</t>
  </si>
  <si>
    <t>OEE = A × P × Q. Không cộng giá trị mất mát về Performance và Quality như phút dừng thực tế.</t>
  </si>
  <si>
    <t>3 / CẤU TRÚC WORKBOOK</t>
  </si>
  <si>
    <t>OEE Dashboard</t>
  </si>
  <si>
    <t>Biểu mẫu tổng hợp có bộ lọc, 4 KPI, dữ liệu theo giờ, phân tích dừng máy, biểu đồ OEE và kế hoạch cải tiến.</t>
  </si>
  <si>
    <t>Production Data</t>
  </si>
  <si>
    <t>Bảng dữ liệu theo giờ; các cột tính toán được liên kết với Downtime Log và Quality Data.</t>
  </si>
  <si>
    <t>Downtime Log</t>
  </si>
  <si>
    <t>Nhật ký sự kiện dừng máy, có mã tổn thất từ Loss Codes.</t>
  </si>
  <si>
    <t>Quality Data</t>
  </si>
  <si>
    <t>Nhật ký lỗi chất lượng và số lượng NG, có thể nhiều loại lỗi mỗi giờ.</t>
  </si>
  <si>
    <t>Machine Master</t>
  </si>
  <si>
    <t>Danh mục máy và chu kỳ lý tưởng chuẩn tham khảo; khi nhập sản xuất nên xác định theo từng SKU.</t>
  </si>
  <si>
    <t>Loss Codes</t>
  </si>
  <si>
    <t>Phân loại tổn thất để thuận tiện thống kê và quản trị.</t>
  </si>
  <si>
    <t>Summary</t>
  </si>
  <si>
    <t>Tổng hợp OEE 7 ngày trước và gồm ngày được chọn; mọi chỉ số dựa vào dữ liệu nguồn.</t>
  </si>
  <si>
    <t>4 / KIỂM SOÁT CHẤT LƯỢNG DỮ LIỆU</t>
  </si>
  <si>
    <t>Không nhập trùng sự kiện dừng máy; NG không được vượt tổng sản lượng; thời gian dừng không được vượt PPT; chu kỳ lý tưởng phải cập nhật khi thay đổi mã hàng. Nếu Performance vượt 100%, rà soát lại tiêu chuẩn hoặc dữ liệu sản lượng. Dữ liệu mẫu ở đây chỉ phục vụ thử công thức, không được công bố như Case Study thực tế.</t>
  </si>
  <si>
    <t>INVAMAX • Factory Operating Model Transformation | Giao diện minh họa dựa theo DNA xanh đen #0B211A, cam #FF6900 và nền sáng.</t>
  </si>
  <si>
    <t>Khi thêm dòng mới tại Production Data, hãy sao chép công thức từ hàng cuối ở các cột G, J:R xuống hàng mới. Ở Downtime Log và Quality Data, chỉ cần thêm dữ liệu phù hợp đúng ngày–ca–máy–khung giờ.</t>
  </si>
  <si>
    <t>SƠ ĐỒ LIÊN KẾT: Machine Master + Loss Codes → nhập Production Data / Downtime Log / Quality Data → Summary → OEE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</si>
</sst>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quot;%&quot;"/>
  </numFmts>
  <fonts count="37">
    <font>
      <sz val="11"/>
      <name val="Carlito"/>
    </font>
    <font>
      <b/>
      <sz val="18"/>
      <color rgb="FFFFFFFF"/>
      <name val="Arial"/>
    </font>
    <font>
      <sz val="10"/>
      <color rgb="FF667085"/>
      <name val="Arial"/>
    </font>
    <font>
      <b/>
      <sz val="9"/>
      <color rgb="FF18262D"/>
      <name val="Arial"/>
    </font>
    <font>
      <sz val="9"/>
      <color rgb="FF18262D"/>
      <name val="Arial"/>
    </font>
    <font>
      <sz val="10"/>
      <name val="Arial"/>
    </font>
    <font>
      <b/>
      <sz val="10"/>
      <color rgb="FFFF6900"/>
      <name val="Arial"/>
    </font>
    <font>
      <b/>
      <sz val="24"/>
      <color rgb="FF0B211A"/>
      <name val="Arial"/>
    </font>
    <font>
      <b/>
      <sz val="24"/>
      <color rgb="FFFF6900"/>
      <name val="Arial"/>
    </font>
    <font>
      <sz val="9"/>
      <color rgb="FF18262D"/>
      <name val="Arial"/>
    </font>
    <font>
      <b/>
      <sz val="10"/>
      <color rgb="FF1E624A"/>
      <name val="Arial"/>
    </font>
    <font>
      <b/>
      <sz val="28"/>
      <color rgb="FF1E624A"/>
      <name val="Arial"/>
    </font>
    <font>
      <b/>
      <sz val="28"/>
      <color rgb="FF2375B5"/>
      <name val="Arial"/>
    </font>
    <font>
      <b/>
      <sz val="28"/>
      <color rgb="FF5942A6"/>
      <name val="Arial"/>
    </font>
    <font>
      <b/>
      <sz val="28"/>
      <color rgb="FFFF6900"/>
      <name val="Arial"/>
    </font>
    <font>
      <b/>
      <sz val="12"/>
      <color rgb="FFFFFFFF"/>
      <name val="Arial"/>
    </font>
    <font>
      <sz val="10"/>
      <color rgb="FF18262D"/>
      <name val="Arial"/>
    </font>
    <font>
      <sz val="9"/>
      <color rgb="FF667085"/>
      <name val="Arial"/>
    </font>
    <font>
      <b/>
      <sz val="12"/>
      <color rgb="FF0B211A"/>
      <name val="Arial"/>
    </font>
    <font>
      <b/>
      <sz val="11"/>
      <color rgb="FF0B211A"/>
      <name val="Arial"/>
    </font>
    <font>
      <sz val="10"/>
      <color rgb="FF18262D"/>
      <name val="Arial"/>
    </font>
    <font>
      <b/>
      <sz val="12"/>
      <color rgb="FFFF6900"/>
      <name val="Arial"/>
      <family val="2"/>
    </font>
    <font>
      <b/>
      <sz val="16"/>
      <color rgb="FF1E624A"/>
      <name val="Arial"/>
      <family val="2"/>
    </font>
    <font>
      <b/>
      <sz val="16"/>
      <color rgb="FF2375B5"/>
      <name val="Arial"/>
      <family val="2"/>
    </font>
    <font>
      <b/>
      <sz val="16"/>
      <color rgb="FF5942A6"/>
      <name val="Arial"/>
      <family val="2"/>
    </font>
    <font>
      <b/>
      <sz val="16"/>
      <color rgb="FFFF6900"/>
      <name val="Arial"/>
      <family val="2"/>
    </font>
    <font>
      <b/>
      <sz val="10"/>
      <color rgb="FF667085"/>
      <name val="Arial"/>
      <family val="2"/>
    </font>
    <font>
      <sz val="10"/>
      <color rgb="FF18262D"/>
      <name val="Arial"/>
      <family val="2"/>
    </font>
    <font>
      <b/>
      <sz val="10"/>
      <color rgb="FF18262D"/>
      <name val="Arial"/>
      <family val="2"/>
    </font>
    <font>
      <b/>
      <sz val="11"/>
      <color rgb="FF667085"/>
      <name val="Arial"/>
      <family val="2"/>
    </font>
    <font>
      <sz val="11"/>
      <color rgb="FF18262D"/>
      <name val="Arial"/>
      <family val="2"/>
    </font>
    <font>
      <b/>
      <sz val="11"/>
      <color rgb="FF18262D"/>
      <name val="Arial"/>
      <family val="2"/>
    </font>
    <font>
      <b/>
      <sz val="28"/>
      <color rgb="FF18262D"/>
      <name val="Arial"/>
      <family val="2"/>
    </font>
    <font>
      <sz val="10"/>
      <color rgb="FF667085"/>
      <name val="Arial"/>
      <family val="2"/>
    </font>
    <font>
      <b/>
      <sz val="10"/>
      <color rgb="FFFF6900"/>
      <name val="Arial"/>
      <family val="2"/>
    </font>
    <font>
      <b/>
      <sz val="14"/>
      <color rgb="FFFFFFFF"/>
      <name val="Arial"/>
      <family val="2"/>
    </font>
    <font>
      <b/>
      <sz val="16"/>
      <color rgb="FFFFFFFF"/>
      <name val="Arial"/>
      <family val="2"/>
    </font>
  </fonts>
  <fills count="9">
    <fill>
      <patternFill patternType="none"/>
    </fill>
    <fill>
      <patternFill patternType="gray125"/>
    </fill>
    <fill>
      <patternFill patternType="solid">
        <fgColor rgb="FF0B211A"/>
      </patternFill>
    </fill>
    <fill>
      <patternFill patternType="solid">
        <fgColor rgb="FFEDF2F1"/>
      </patternFill>
    </fill>
    <fill>
      <patternFill patternType="solid">
        <fgColor rgb="FFEEF7FD"/>
      </patternFill>
    </fill>
    <fill>
      <patternFill patternType="solid">
        <fgColor rgb="FFEFF8F4"/>
      </patternFill>
    </fill>
    <fill>
      <patternFill patternType="solid">
        <fgColor rgb="FFFFFFFF"/>
      </patternFill>
    </fill>
    <fill>
      <patternFill patternType="solid">
        <fgColor rgb="FFF5F7F6"/>
      </patternFill>
    </fill>
    <fill>
      <patternFill patternType="solid">
        <fgColor rgb="FFFFF0E5"/>
      </patternFill>
    </fill>
  </fills>
  <borders count="14">
    <border>
      <left/>
      <right/>
      <top/>
      <bottom/>
      <diagonal/>
    </border>
    <border>
      <left style="thin">
        <color rgb="FFDDE5E1"/>
      </left>
      <right style="thin">
        <color rgb="FFDDE5E1"/>
      </right>
      <top style="thin">
        <color rgb="FFDDE5E1"/>
      </top>
      <bottom style="thin">
        <color rgb="FFDDE5E1"/>
      </bottom>
      <diagonal/>
    </border>
    <border>
      <left style="thin">
        <color rgb="FFDDE5E1"/>
      </left>
      <right/>
      <top style="thin">
        <color rgb="FFDDE5E1"/>
      </top>
      <bottom style="thin">
        <color rgb="FFDDE5E1"/>
      </bottom>
      <diagonal/>
    </border>
    <border>
      <left/>
      <right style="thin">
        <color rgb="FFDDE5E1"/>
      </right>
      <top style="thin">
        <color rgb="FFDDE5E1"/>
      </top>
      <bottom style="thin">
        <color rgb="FFDDE5E1"/>
      </bottom>
      <diagonal/>
    </border>
    <border>
      <left/>
      <right/>
      <top style="thin">
        <color rgb="FFDDE5E1"/>
      </top>
      <bottom style="thin">
        <color rgb="FFDDE5E1"/>
      </bottom>
      <diagonal/>
    </border>
    <border>
      <left style="thin">
        <color rgb="FFDDE5E1"/>
      </left>
      <right/>
      <top style="thin">
        <color rgb="FFDDE5E1"/>
      </top>
      <bottom/>
      <diagonal/>
    </border>
    <border>
      <left/>
      <right/>
      <top style="thin">
        <color rgb="FFDDE5E1"/>
      </top>
      <bottom/>
      <diagonal/>
    </border>
    <border>
      <left/>
      <right style="thin">
        <color rgb="FFDDE5E1"/>
      </right>
      <top style="thin">
        <color rgb="FFDDE5E1"/>
      </top>
      <bottom/>
      <diagonal/>
    </border>
    <border>
      <left style="thin">
        <color rgb="FFDDE5E1"/>
      </left>
      <right/>
      <top/>
      <bottom/>
      <diagonal/>
    </border>
    <border>
      <left/>
      <right style="thin">
        <color rgb="FFDDE5E1"/>
      </right>
      <top/>
      <bottom/>
      <diagonal/>
    </border>
    <border>
      <left style="thin">
        <color rgb="FFDDE5E1"/>
      </left>
      <right/>
      <top/>
      <bottom style="thin">
        <color rgb="FFDDE5E1"/>
      </bottom>
      <diagonal/>
    </border>
    <border>
      <left/>
      <right/>
      <top/>
      <bottom style="thin">
        <color rgb="FFDDE5E1"/>
      </bottom>
      <diagonal/>
    </border>
    <border>
      <left/>
      <right style="thin">
        <color rgb="FFDDE5E1"/>
      </right>
      <top/>
      <bottom style="thin">
        <color rgb="FFDDE5E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4">
    <xf numFmtId="0" fontId="0" fillId="0" borderId="0" xfId="0"/>
    <xf numFmtId="0" fontId="3" fillId="3" borderId="0" xfId="0" applyFont="1" applyFill="1" applyAlignment="1">
      <alignment horizontal="center" vertical="center" wrapText="1"/>
    </xf>
    <xf numFmtId="0" fontId="3" fillId="3" borderId="1" xfId="0" applyFont="1" applyFill="1" applyBorder="1" applyAlignment="1">
      <alignment horizontal="center" vertical="center" wrapText="1"/>
    </xf>
    <xf numFmtId="0" fontId="4" fillId="4" borderId="0" xfId="0" applyFont="1" applyFill="1" applyAlignment="1">
      <alignment vertical="center"/>
    </xf>
    <xf numFmtId="0" fontId="4" fillId="5" borderId="0" xfId="0" applyFont="1" applyFill="1" applyAlignment="1">
      <alignment vertical="center"/>
    </xf>
    <xf numFmtId="14" fontId="4" fillId="4" borderId="0" xfId="0" applyNumberFormat="1" applyFont="1" applyFill="1" applyAlignment="1">
      <alignment vertical="center"/>
    </xf>
    <xf numFmtId="3" fontId="4" fillId="4" borderId="0" xfId="0" applyNumberFormat="1" applyFont="1" applyFill="1" applyAlignment="1">
      <alignment vertical="center"/>
    </xf>
    <xf numFmtId="164" fontId="4" fillId="5" borderId="0" xfId="0" applyNumberFormat="1" applyFont="1" applyFill="1" applyAlignment="1">
      <alignment vertical="center"/>
    </xf>
    <xf numFmtId="2" fontId="4" fillId="4" borderId="0" xfId="0" applyNumberFormat="1" applyFont="1" applyFill="1" applyAlignment="1">
      <alignment vertical="center"/>
    </xf>
    <xf numFmtId="14" fontId="5" fillId="0" borderId="1" xfId="0" applyNumberFormat="1" applyFont="1" applyBorder="1"/>
    <xf numFmtId="0" fontId="5" fillId="0" borderId="1" xfId="0" applyFont="1" applyBorder="1"/>
    <xf numFmtId="164" fontId="5" fillId="5" borderId="1" xfId="0" applyNumberFormat="1" applyFont="1" applyFill="1" applyBorder="1"/>
    <xf numFmtId="164" fontId="6" fillId="5" borderId="1" xfId="0" applyNumberFormat="1" applyFont="1" applyFill="1" applyBorder="1"/>
    <xf numFmtId="0" fontId="4" fillId="6" borderId="0" xfId="0" applyFont="1" applyFill="1" applyAlignment="1">
      <alignment vertical="center"/>
    </xf>
    <xf numFmtId="0" fontId="8" fillId="6" borderId="0" xfId="0" applyFont="1" applyFill="1" applyAlignment="1">
      <alignment horizontal="left" vertical="center"/>
    </xf>
    <xf numFmtId="0" fontId="3" fillId="3" borderId="0" xfId="0" applyFont="1" applyFill="1" applyAlignment="1">
      <alignment horizontal="center"/>
    </xf>
    <xf numFmtId="165" fontId="0" fillId="0" borderId="0" xfId="0" applyNumberFormat="1"/>
    <xf numFmtId="0" fontId="15" fillId="2" borderId="0" xfId="0" applyFont="1" applyFill="1" applyAlignment="1">
      <alignment horizontal="left" vertical="center"/>
    </xf>
    <xf numFmtId="0" fontId="9" fillId="4" borderId="2" xfId="0" applyFont="1" applyFill="1" applyBorder="1" applyAlignment="1">
      <alignment horizontal="left" vertical="center" wrapText="1"/>
    </xf>
    <xf numFmtId="0" fontId="9" fillId="4" borderId="4" xfId="0" applyFont="1" applyFill="1" applyBorder="1" applyAlignment="1">
      <alignment horizontal="left" vertical="center" wrapText="1"/>
    </xf>
    <xf numFmtId="0" fontId="9" fillId="4" borderId="3" xfId="0" applyFont="1" applyFill="1" applyBorder="1" applyAlignment="1">
      <alignment horizontal="left" vertical="center" wrapText="1"/>
    </xf>
    <xf numFmtId="14" fontId="9" fillId="4" borderId="2" xfId="0" applyNumberFormat="1" applyFont="1" applyFill="1" applyBorder="1" applyAlignment="1">
      <alignment horizontal="left" vertical="center" wrapText="1"/>
    </xf>
    <xf numFmtId="0" fontId="7" fillId="6" borderId="0" xfId="0" applyFont="1" applyFill="1" applyAlignment="1">
      <alignment horizontal="left" vertical="center"/>
    </xf>
    <xf numFmtId="0" fontId="8" fillId="6"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3" borderId="2" xfId="0" applyFont="1" applyFill="1" applyBorder="1" applyAlignment="1">
      <alignment horizontal="left" vertical="center"/>
    </xf>
    <xf numFmtId="0" fontId="3" fillId="3" borderId="4" xfId="0" applyFont="1" applyFill="1" applyBorder="1" applyAlignment="1">
      <alignment horizontal="left" vertical="center"/>
    </xf>
    <xf numFmtId="0" fontId="3" fillId="3" borderId="3" xfId="0" applyFont="1" applyFill="1" applyBorder="1" applyAlignment="1">
      <alignment horizontal="left" vertical="center"/>
    </xf>
    <xf numFmtId="0" fontId="9" fillId="6" borderId="2" xfId="0" applyFont="1" applyFill="1" applyBorder="1" applyAlignment="1">
      <alignment horizontal="left" vertical="center" wrapText="1"/>
    </xf>
    <xf numFmtId="0" fontId="9" fillId="6" borderId="4" xfId="0" applyFont="1" applyFill="1" applyBorder="1" applyAlignment="1">
      <alignment horizontal="left" vertical="center" wrapText="1"/>
    </xf>
    <xf numFmtId="0" fontId="9" fillId="6" borderId="3" xfId="0" applyFont="1" applyFill="1" applyBorder="1" applyAlignment="1">
      <alignment horizontal="left" vertical="center" wrapText="1"/>
    </xf>
    <xf numFmtId="0" fontId="18" fillId="3" borderId="0" xfId="0" applyFont="1" applyFill="1" applyAlignment="1">
      <alignment horizontal="left" vertical="center"/>
    </xf>
    <xf numFmtId="0" fontId="19" fillId="3" borderId="2" xfId="0" applyFont="1" applyFill="1" applyBorder="1" applyAlignment="1">
      <alignment horizontal="left" vertical="center"/>
    </xf>
    <xf numFmtId="0" fontId="19" fillId="3" borderId="4" xfId="0" applyFont="1" applyFill="1" applyBorder="1" applyAlignment="1">
      <alignment horizontal="left" vertical="center"/>
    </xf>
    <xf numFmtId="0" fontId="19" fillId="3" borderId="3" xfId="0" applyFont="1" applyFill="1" applyBorder="1" applyAlignment="1">
      <alignment horizontal="left" vertical="center"/>
    </xf>
    <xf numFmtId="0" fontId="16" fillId="6" borderId="2" xfId="0" applyFont="1" applyFill="1" applyBorder="1" applyAlignment="1">
      <alignment horizontal="left" vertical="center" wrapText="1"/>
    </xf>
    <xf numFmtId="0" fontId="16" fillId="6" borderId="4"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16" fillId="6" borderId="5" xfId="0" applyFont="1" applyFill="1" applyBorder="1" applyAlignment="1">
      <alignment horizontal="left" vertical="center" wrapText="1"/>
    </xf>
    <xf numFmtId="0" fontId="16" fillId="6" borderId="6" xfId="0" applyFont="1" applyFill="1" applyBorder="1" applyAlignment="1">
      <alignment horizontal="left" vertical="center" wrapText="1"/>
    </xf>
    <xf numFmtId="0" fontId="16" fillId="6" borderId="7" xfId="0" applyFont="1" applyFill="1" applyBorder="1" applyAlignment="1">
      <alignment horizontal="left" vertical="center" wrapText="1"/>
    </xf>
    <xf numFmtId="0" fontId="16" fillId="6" borderId="8" xfId="0" applyFont="1" applyFill="1" applyBorder="1" applyAlignment="1">
      <alignment horizontal="left" vertical="center" wrapText="1"/>
    </xf>
    <xf numFmtId="0" fontId="16" fillId="6" borderId="0" xfId="0" applyFont="1" applyFill="1" applyAlignment="1">
      <alignment horizontal="left" vertical="center" wrapText="1"/>
    </xf>
    <xf numFmtId="0" fontId="16" fillId="6" borderId="9" xfId="0" applyFont="1" applyFill="1" applyBorder="1" applyAlignment="1">
      <alignment horizontal="left" vertical="center" wrapText="1"/>
    </xf>
    <xf numFmtId="0" fontId="16" fillId="6" borderId="10" xfId="0" applyFont="1" applyFill="1" applyBorder="1" applyAlignment="1">
      <alignment horizontal="left" vertical="center" wrapText="1"/>
    </xf>
    <xf numFmtId="0" fontId="16" fillId="6" borderId="11" xfId="0" applyFont="1" applyFill="1" applyBorder="1" applyAlignment="1">
      <alignment horizontal="left" vertical="center" wrapText="1"/>
    </xf>
    <xf numFmtId="0" fontId="16" fillId="6" borderId="12" xfId="0" applyFont="1" applyFill="1" applyBorder="1" applyAlignment="1">
      <alignment horizontal="left" vertical="center" wrapText="1"/>
    </xf>
    <xf numFmtId="0" fontId="17" fillId="3" borderId="0" xfId="0" applyFont="1" applyFill="1" applyAlignment="1">
      <alignment horizontal="left" vertical="center" wrapText="1"/>
    </xf>
    <xf numFmtId="0" fontId="20" fillId="8" borderId="0" xfId="0" applyFont="1" applyFill="1" applyAlignment="1">
      <alignment vertical="center" wrapText="1"/>
    </xf>
    <xf numFmtId="0" fontId="10" fillId="3" borderId="0" xfId="0" applyFont="1" applyFill="1" applyAlignment="1">
      <alignment wrapText="1"/>
    </xf>
    <xf numFmtId="164" fontId="11" fillId="7" borderId="13" xfId="0" applyNumberFormat="1" applyFont="1" applyFill="1" applyBorder="1" applyAlignment="1">
      <alignment horizontal="center" vertical="center"/>
    </xf>
    <xf numFmtId="0" fontId="11" fillId="7" borderId="13" xfId="0" applyFont="1" applyFill="1" applyBorder="1" applyAlignment="1">
      <alignment horizontal="center" vertical="center"/>
    </xf>
    <xf numFmtId="164" fontId="12" fillId="7" borderId="13" xfId="0" applyNumberFormat="1" applyFont="1" applyFill="1" applyBorder="1" applyAlignment="1">
      <alignment horizontal="center" vertical="center"/>
    </xf>
    <xf numFmtId="0" fontId="12" fillId="7" borderId="13" xfId="0" applyFont="1" applyFill="1" applyBorder="1" applyAlignment="1">
      <alignment horizontal="center" vertical="center"/>
    </xf>
    <xf numFmtId="164" fontId="13" fillId="7" borderId="13" xfId="0" applyNumberFormat="1" applyFont="1" applyFill="1" applyBorder="1" applyAlignment="1">
      <alignment horizontal="center" vertical="center"/>
    </xf>
    <xf numFmtId="0" fontId="13" fillId="7" borderId="13" xfId="0" applyFont="1" applyFill="1" applyBorder="1" applyAlignment="1">
      <alignment horizontal="center" vertical="center"/>
    </xf>
    <xf numFmtId="164" fontId="14" fillId="7" borderId="13" xfId="0" applyNumberFormat="1" applyFont="1" applyFill="1" applyBorder="1" applyAlignment="1">
      <alignment horizontal="center" vertical="center"/>
    </xf>
    <xf numFmtId="0" fontId="14" fillId="7" borderId="13" xfId="0" applyFont="1" applyFill="1" applyBorder="1" applyAlignment="1">
      <alignment horizontal="center" vertical="center"/>
    </xf>
    <xf numFmtId="0" fontId="22" fillId="3" borderId="13" xfId="0" applyFont="1" applyFill="1" applyBorder="1" applyAlignment="1">
      <alignment horizontal="center" vertical="center"/>
    </xf>
    <xf numFmtId="0" fontId="23" fillId="3" borderId="13" xfId="0" applyFont="1" applyFill="1" applyBorder="1" applyAlignment="1">
      <alignment horizontal="center" vertical="center"/>
    </xf>
    <xf numFmtId="0" fontId="24" fillId="3" borderId="13" xfId="0" applyFont="1" applyFill="1" applyBorder="1" applyAlignment="1">
      <alignment horizontal="center" vertical="center"/>
    </xf>
    <xf numFmtId="0" fontId="25" fillId="3" borderId="13" xfId="0" applyFont="1" applyFill="1" applyBorder="1" applyAlignment="1">
      <alignment horizontal="center" vertical="center"/>
    </xf>
    <xf numFmtId="0" fontId="27" fillId="6" borderId="0" xfId="0" applyFont="1" applyFill="1" applyAlignment="1">
      <alignment vertical="center"/>
    </xf>
    <xf numFmtId="0" fontId="29" fillId="3" borderId="2" xfId="0" applyFont="1" applyFill="1" applyBorder="1" applyAlignment="1">
      <alignment horizontal="center" vertical="center"/>
    </xf>
    <xf numFmtId="0" fontId="29" fillId="3" borderId="3" xfId="0" applyFont="1" applyFill="1" applyBorder="1" applyAlignment="1">
      <alignment horizontal="center" vertical="center"/>
    </xf>
    <xf numFmtId="14" fontId="30" fillId="4" borderId="2" xfId="0" applyNumberFormat="1" applyFont="1" applyFill="1" applyBorder="1" applyAlignment="1">
      <alignment horizontal="center" vertical="center"/>
    </xf>
    <xf numFmtId="0" fontId="30" fillId="4" borderId="3" xfId="0" applyFont="1" applyFill="1" applyBorder="1" applyAlignment="1">
      <alignment horizontal="center" vertical="center"/>
    </xf>
    <xf numFmtId="0" fontId="30" fillId="4" borderId="2" xfId="0" applyFont="1" applyFill="1" applyBorder="1" applyAlignment="1">
      <alignment horizontal="center" vertical="center"/>
    </xf>
    <xf numFmtId="0" fontId="29" fillId="3" borderId="4" xfId="0" applyFont="1" applyFill="1" applyBorder="1" applyAlignment="1">
      <alignment horizontal="center" vertical="center"/>
    </xf>
    <xf numFmtId="0" fontId="30" fillId="4" borderId="4" xfId="0" applyFont="1" applyFill="1" applyBorder="1" applyAlignment="1">
      <alignment horizontal="center" vertical="center"/>
    </xf>
    <xf numFmtId="0" fontId="30" fillId="6" borderId="0" xfId="0" applyFont="1" applyFill="1" applyAlignment="1">
      <alignment vertical="center"/>
    </xf>
    <xf numFmtId="164" fontId="31" fillId="4" borderId="2" xfId="0" applyNumberFormat="1" applyFont="1" applyFill="1" applyBorder="1" applyAlignment="1">
      <alignment horizontal="center" vertical="center"/>
    </xf>
    <xf numFmtId="0" fontId="31" fillId="4" borderId="4" xfId="0" applyFont="1" applyFill="1" applyBorder="1" applyAlignment="1">
      <alignment horizontal="center" vertical="center"/>
    </xf>
    <xf numFmtId="0" fontId="31" fillId="4" borderId="3" xfId="0" applyFont="1" applyFill="1" applyBorder="1" applyAlignment="1">
      <alignment horizontal="center" vertical="center"/>
    </xf>
    <xf numFmtId="0" fontId="32" fillId="6" borderId="0" xfId="0" applyFont="1" applyFill="1" applyAlignment="1">
      <alignment horizontal="center" vertical="center"/>
    </xf>
    <xf numFmtId="0" fontId="26" fillId="6" borderId="0" xfId="0" applyFont="1" applyFill="1" applyAlignment="1">
      <alignment horizontal="center" vertical="center"/>
    </xf>
    <xf numFmtId="0" fontId="33" fillId="7" borderId="0" xfId="0" applyFont="1" applyFill="1" applyAlignment="1">
      <alignment horizontal="center" vertical="center"/>
    </xf>
    <xf numFmtId="0" fontId="33" fillId="6" borderId="0" xfId="0" applyFont="1" applyFill="1" applyAlignment="1">
      <alignment horizontal="left" vertical="center"/>
    </xf>
    <xf numFmtId="0" fontId="28" fillId="3" borderId="5" xfId="0" applyFont="1" applyFill="1" applyBorder="1" applyAlignment="1">
      <alignment horizontal="center" vertical="center" wrapText="1"/>
    </xf>
    <xf numFmtId="0" fontId="28" fillId="3" borderId="6" xfId="0" applyFont="1" applyFill="1" applyBorder="1" applyAlignment="1">
      <alignment horizontal="center" vertical="center" wrapText="1"/>
    </xf>
    <xf numFmtId="0" fontId="28" fillId="3" borderId="7" xfId="0" applyFont="1" applyFill="1" applyBorder="1" applyAlignment="1">
      <alignment horizontal="center" vertical="center" wrapText="1"/>
    </xf>
    <xf numFmtId="0" fontId="28" fillId="3" borderId="10" xfId="0" applyFont="1" applyFill="1" applyBorder="1" applyAlignment="1">
      <alignment horizontal="center" vertical="center" wrapText="1"/>
    </xf>
    <xf numFmtId="0" fontId="28" fillId="3" borderId="11" xfId="0" applyFont="1" applyFill="1" applyBorder="1" applyAlignment="1">
      <alignment horizontal="center" vertical="center" wrapText="1"/>
    </xf>
    <xf numFmtId="0" fontId="28" fillId="3" borderId="12" xfId="0" applyFont="1" applyFill="1" applyBorder="1" applyAlignment="1">
      <alignment horizontal="center" vertical="center" wrapText="1"/>
    </xf>
    <xf numFmtId="0" fontId="27" fillId="6" borderId="2" xfId="0" applyFont="1" applyFill="1" applyBorder="1" applyAlignment="1">
      <alignment horizontal="center" vertical="center"/>
    </xf>
    <xf numFmtId="0" fontId="27" fillId="6" borderId="4" xfId="0" applyFont="1" applyFill="1" applyBorder="1" applyAlignment="1">
      <alignment horizontal="center" vertical="center"/>
    </xf>
    <xf numFmtId="0" fontId="27" fillId="6" borderId="3" xfId="0" applyFont="1" applyFill="1" applyBorder="1" applyAlignment="1">
      <alignment horizontal="center" vertical="center"/>
    </xf>
    <xf numFmtId="0" fontId="27" fillId="5" borderId="2" xfId="0" applyFont="1" applyFill="1" applyBorder="1" applyAlignment="1">
      <alignment horizontal="center" vertical="center"/>
    </xf>
    <xf numFmtId="0" fontId="27" fillId="5" borderId="4" xfId="0" applyFont="1" applyFill="1" applyBorder="1" applyAlignment="1">
      <alignment horizontal="center" vertical="center"/>
    </xf>
    <xf numFmtId="0" fontId="27" fillId="5" borderId="3" xfId="0" applyFont="1" applyFill="1" applyBorder="1" applyAlignment="1">
      <alignment horizontal="center" vertical="center"/>
    </xf>
    <xf numFmtId="2" fontId="27" fillId="5" borderId="2" xfId="0" applyNumberFormat="1" applyFont="1" applyFill="1" applyBorder="1" applyAlignment="1">
      <alignment horizontal="center" vertical="center"/>
    </xf>
    <xf numFmtId="164" fontId="34" fillId="8" borderId="2" xfId="0" applyNumberFormat="1" applyFont="1" applyFill="1" applyBorder="1" applyAlignment="1">
      <alignment horizontal="center" vertical="center"/>
    </xf>
    <xf numFmtId="0" fontId="34" fillId="8" borderId="3" xfId="0" applyFont="1" applyFill="1" applyBorder="1" applyAlignment="1">
      <alignment horizontal="center" vertical="center"/>
    </xf>
    <xf numFmtId="0" fontId="28" fillId="8" borderId="2" xfId="0" applyFont="1" applyFill="1" applyBorder="1" applyAlignment="1">
      <alignment horizontal="center" vertical="center"/>
    </xf>
    <xf numFmtId="0" fontId="28" fillId="8" borderId="4" xfId="0" applyFont="1" applyFill="1" applyBorder="1" applyAlignment="1">
      <alignment horizontal="center" vertical="center"/>
    </xf>
    <xf numFmtId="0" fontId="28" fillId="8" borderId="3" xfId="0" applyFont="1" applyFill="1" applyBorder="1" applyAlignment="1">
      <alignment horizontal="center" vertical="center"/>
    </xf>
    <xf numFmtId="0" fontId="27" fillId="8" borderId="2" xfId="0" applyFont="1" applyFill="1" applyBorder="1" applyAlignment="1">
      <alignment horizontal="center" vertical="center"/>
    </xf>
    <xf numFmtId="0" fontId="27" fillId="8" borderId="4" xfId="0" applyFont="1" applyFill="1" applyBorder="1" applyAlignment="1">
      <alignment horizontal="center" vertical="center"/>
    </xf>
    <xf numFmtId="0" fontId="27" fillId="8" borderId="3" xfId="0" applyFont="1" applyFill="1" applyBorder="1" applyAlignment="1">
      <alignment horizontal="center" vertical="center"/>
    </xf>
    <xf numFmtId="0" fontId="27" fillId="6" borderId="2" xfId="0" applyFont="1" applyFill="1" applyBorder="1" applyAlignment="1">
      <alignment horizontal="left" vertical="center"/>
    </xf>
    <xf numFmtId="0" fontId="27" fillId="6" borderId="4" xfId="0" applyFont="1" applyFill="1" applyBorder="1" applyAlignment="1">
      <alignment horizontal="left" vertical="center"/>
    </xf>
    <xf numFmtId="0" fontId="27" fillId="6" borderId="3" xfId="0" applyFont="1" applyFill="1" applyBorder="1" applyAlignment="1">
      <alignment horizontal="left" vertical="center"/>
    </xf>
    <xf numFmtId="164" fontId="27" fillId="5" borderId="2" xfId="0" applyNumberFormat="1" applyFont="1" applyFill="1" applyBorder="1" applyAlignment="1">
      <alignment horizontal="center" vertical="center"/>
    </xf>
    <xf numFmtId="0" fontId="31" fillId="3" borderId="2" xfId="0" applyFont="1" applyFill="1" applyBorder="1" applyAlignment="1">
      <alignment horizontal="center" vertical="center"/>
    </xf>
    <xf numFmtId="0" fontId="31" fillId="3" borderId="3" xfId="0" applyFont="1" applyFill="1" applyBorder="1" applyAlignment="1">
      <alignment horizontal="center" vertical="center"/>
    </xf>
    <xf numFmtId="0" fontId="31" fillId="3" borderId="4" xfId="0" applyFont="1" applyFill="1" applyBorder="1" applyAlignment="1">
      <alignment horizontal="center" vertical="center"/>
    </xf>
    <xf numFmtId="0" fontId="30" fillId="6" borderId="2" xfId="0" applyFont="1" applyFill="1" applyBorder="1" applyAlignment="1">
      <alignment horizontal="center" vertical="center"/>
    </xf>
    <xf numFmtId="0" fontId="30" fillId="6" borderId="3" xfId="0" applyFont="1" applyFill="1" applyBorder="1" applyAlignment="1">
      <alignment horizontal="center" vertical="center"/>
    </xf>
    <xf numFmtId="0" fontId="31" fillId="8" borderId="2" xfId="0" applyFont="1" applyFill="1" applyBorder="1" applyAlignment="1">
      <alignment horizontal="left" vertical="center"/>
    </xf>
    <xf numFmtId="0" fontId="31" fillId="8" borderId="4" xfId="0" applyFont="1" applyFill="1" applyBorder="1" applyAlignment="1">
      <alignment horizontal="left" vertical="center"/>
    </xf>
    <xf numFmtId="0" fontId="31" fillId="8" borderId="3" xfId="0" applyFont="1" applyFill="1" applyBorder="1" applyAlignment="1">
      <alignment horizontal="left" vertical="center"/>
    </xf>
    <xf numFmtId="0" fontId="31" fillId="8" borderId="2" xfId="0" applyFont="1" applyFill="1" applyBorder="1" applyAlignment="1">
      <alignment horizontal="center" vertical="center"/>
    </xf>
    <xf numFmtId="0" fontId="31" fillId="8" borderId="4" xfId="0" applyFont="1" applyFill="1" applyBorder="1" applyAlignment="1">
      <alignment horizontal="center" vertical="center"/>
    </xf>
    <xf numFmtId="0" fontId="31" fillId="8" borderId="3" xfId="0" applyFont="1" applyFill="1" applyBorder="1" applyAlignment="1">
      <alignment horizontal="center" vertical="center"/>
    </xf>
    <xf numFmtId="164" fontId="31" fillId="8" borderId="2" xfId="0" applyNumberFormat="1" applyFont="1" applyFill="1" applyBorder="1" applyAlignment="1">
      <alignment horizontal="center" vertical="center"/>
    </xf>
    <xf numFmtId="0" fontId="33" fillId="7" borderId="5" xfId="0" applyFont="1" applyFill="1" applyBorder="1" applyAlignment="1">
      <alignment horizontal="left" vertical="center" wrapText="1"/>
    </xf>
    <xf numFmtId="0" fontId="33" fillId="7" borderId="6" xfId="0" applyFont="1" applyFill="1" applyBorder="1" applyAlignment="1">
      <alignment horizontal="left" vertical="center" wrapText="1"/>
    </xf>
    <xf numFmtId="0" fontId="33" fillId="7" borderId="7" xfId="0" applyFont="1" applyFill="1" applyBorder="1" applyAlignment="1">
      <alignment horizontal="left" vertical="center" wrapText="1"/>
    </xf>
    <xf numFmtId="0" fontId="33" fillId="7" borderId="8" xfId="0" applyFont="1" applyFill="1" applyBorder="1" applyAlignment="1">
      <alignment horizontal="left" vertical="center" wrapText="1"/>
    </xf>
    <xf numFmtId="0" fontId="33" fillId="7" borderId="0" xfId="0" applyFont="1" applyFill="1" applyAlignment="1">
      <alignment horizontal="left" vertical="center" wrapText="1"/>
    </xf>
    <xf numFmtId="0" fontId="33" fillId="7" borderId="9" xfId="0" applyFont="1" applyFill="1" applyBorder="1" applyAlignment="1">
      <alignment horizontal="left" vertical="center" wrapText="1"/>
    </xf>
    <xf numFmtId="0" fontId="33" fillId="7" borderId="10" xfId="0" applyFont="1" applyFill="1" applyBorder="1" applyAlignment="1">
      <alignment horizontal="left" vertical="center" wrapText="1"/>
    </xf>
    <xf numFmtId="0" fontId="33" fillId="7" borderId="11" xfId="0" applyFont="1" applyFill="1" applyBorder="1" applyAlignment="1">
      <alignment horizontal="left" vertical="center" wrapText="1"/>
    </xf>
    <xf numFmtId="0" fontId="33" fillId="7" borderId="12" xfId="0" applyFont="1" applyFill="1" applyBorder="1" applyAlignment="1">
      <alignment horizontal="left" vertical="center" wrapText="1"/>
    </xf>
    <xf numFmtId="0" fontId="21" fillId="8" borderId="5" xfId="0" applyFont="1" applyFill="1" applyBorder="1" applyAlignment="1">
      <alignment horizontal="center" vertical="center"/>
    </xf>
    <xf numFmtId="0" fontId="21" fillId="8" borderId="6" xfId="0" applyFont="1" applyFill="1" applyBorder="1" applyAlignment="1">
      <alignment horizontal="center" vertical="center"/>
    </xf>
    <xf numFmtId="0" fontId="21" fillId="8" borderId="7" xfId="0" applyFont="1" applyFill="1" applyBorder="1" applyAlignment="1">
      <alignment horizontal="center" vertical="center"/>
    </xf>
    <xf numFmtId="0" fontId="21" fillId="8" borderId="10" xfId="0" applyFont="1" applyFill="1" applyBorder="1" applyAlignment="1">
      <alignment horizontal="center" vertical="center"/>
    </xf>
    <xf numFmtId="0" fontId="21" fillId="8" borderId="11" xfId="0" applyFont="1" applyFill="1" applyBorder="1" applyAlignment="1">
      <alignment horizontal="center" vertical="center"/>
    </xf>
    <xf numFmtId="0" fontId="21" fillId="8" borderId="12" xfId="0" applyFont="1" applyFill="1" applyBorder="1" applyAlignment="1">
      <alignment horizontal="center" vertical="center"/>
    </xf>
    <xf numFmtId="0" fontId="35" fillId="2" borderId="0" xfId="0" applyFont="1" applyFill="1" applyAlignment="1">
      <alignment horizontal="left" vertical="center"/>
    </xf>
    <xf numFmtId="0" fontId="36" fillId="2" borderId="0" xfId="0" applyFont="1" applyFill="1" applyAlignment="1">
      <alignment horizontal="left" vertical="center"/>
    </xf>
    <xf numFmtId="0" fontId="26" fillId="3" borderId="0" xfId="0" applyFont="1" applyFill="1" applyAlignment="1">
      <alignment horizontal="center" vertical="center"/>
    </xf>
  </cellXfs>
  <cellStyles count="1">
    <cellStyle name="Normal" xfId="0" builtinId="0"/>
  </cellStyles>
  <dxfs count="3">
    <dxf>
      <font>
        <color rgb="FFC43B35"/>
      </font>
      <fill>
        <patternFill patternType="solid">
          <bgColor rgb="FFFFF0E5"/>
        </patternFill>
      </fill>
    </dxf>
    <dxf>
      <fill>
        <patternFill patternType="solid">
          <bgColor rgb="FFFEE2E2"/>
        </patternFill>
      </fill>
    </dxf>
    <dxf>
      <font>
        <color rgb="FFC43B3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US"/>
              <a:t>OEE theo ngày (%)</a:t>
            </a:r>
          </a:p>
        </c:rich>
      </c:tx>
      <c:overlay val="0"/>
    </c:title>
    <c:autoTitleDeleted val="0"/>
    <c:plotArea>
      <c:layout/>
      <c:barChart>
        <c:barDir val="col"/>
        <c:grouping val="clustered"/>
        <c:varyColors val="0"/>
        <c:ser>
          <c:idx val="0"/>
          <c:order val="0"/>
          <c:tx>
            <c:v>OEE</c:v>
          </c:tx>
          <c:invertIfNegative val="1"/>
          <c:cat>
            <c:strRef>
              <c:f>Summary!$P$7:$P$13</c:f>
              <c:strCache>
                <c:ptCount val="7"/>
                <c:pt idx="0">
                  <c:v>01/10</c:v>
                </c:pt>
                <c:pt idx="1">
                  <c:v>02/10</c:v>
                </c:pt>
                <c:pt idx="2">
                  <c:v>03/10</c:v>
                </c:pt>
                <c:pt idx="3">
                  <c:v>04/10</c:v>
                </c:pt>
                <c:pt idx="4">
                  <c:v>05/10</c:v>
                </c:pt>
                <c:pt idx="5">
                  <c:v>06/10</c:v>
                </c:pt>
                <c:pt idx="6">
                  <c:v>07/10</c:v>
                </c:pt>
              </c:strCache>
            </c:strRef>
          </c:cat>
          <c:val>
            <c:numRef>
              <c:f>Summary!$Q$7:$Q$13</c:f>
              <c:numCache>
                <c:formatCode>0.0"%"</c:formatCode>
                <c:ptCount val="7"/>
                <c:pt idx="0">
                  <c:v>77.612222222222201</c:v>
                </c:pt>
                <c:pt idx="1">
                  <c:v>78.285185185185185</c:v>
                </c:pt>
                <c:pt idx="2">
                  <c:v>79.017777777777752</c:v>
                </c:pt>
                <c:pt idx="3">
                  <c:v>78.5748148148148</c:v>
                </c:pt>
                <c:pt idx="4">
                  <c:v>78.608888888888899</c:v>
                </c:pt>
                <c:pt idx="5">
                  <c:v>78.395925925925908</c:v>
                </c:pt>
                <c:pt idx="6">
                  <c:v>78.958148148148126</c:v>
                </c:pt>
              </c:numCache>
            </c:numRef>
          </c:val>
          <c:extLst>
            <c:ext xmlns:c16="http://schemas.microsoft.com/office/drawing/2014/chart" uri="{C3380CC4-5D6E-409C-BE32-E72D297353CC}">
              <c16:uniqueId val="{00000000-211E-4FDE-AA5F-44CD123DE47A}"/>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0.0&quot;%&quot;"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0</xdr:colOff>
      <xdr:row>26</xdr:row>
      <xdr:rowOff>0</xdr:rowOff>
    </xdr:from>
    <xdr:to>
      <xdr:col>32</xdr:col>
      <xdr:colOff>0</xdr:colOff>
      <xdr:row>40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57"/>
  <sheetViews>
    <sheetView zoomScale="70" zoomScaleNormal="70" workbookViewId="0">
      <pane ySplit="5" topLeftCell="A17" activePane="bottomLeft" state="frozen"/>
      <selection pane="bottomLeft" activeCell="AI47" sqref="AI47"/>
    </sheetView>
  </sheetViews>
  <sheetFormatPr defaultRowHeight="13.8"/>
  <cols>
    <col min="1" max="32" width="5.3984375" customWidth="1"/>
  </cols>
  <sheetData>
    <row r="1" spans="1:32" ht="10.050000000000001" customHeight="1">
      <c r="A1" s="1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row>
    <row r="2" spans="1:32" ht="27" customHeight="1">
      <c r="A2" s="22" t="s">
        <v>0</v>
      </c>
      <c r="B2" s="22"/>
      <c r="C2" s="23" t="s">
        <v>1</v>
      </c>
      <c r="D2" s="23"/>
      <c r="E2" s="23"/>
      <c r="F2" s="14"/>
      <c r="G2" s="75" t="s">
        <v>2</v>
      </c>
      <c r="H2" s="75"/>
      <c r="I2" s="75"/>
      <c r="J2" s="75"/>
      <c r="K2" s="75"/>
      <c r="L2" s="75"/>
      <c r="M2" s="75"/>
      <c r="N2" s="75"/>
      <c r="O2" s="75"/>
      <c r="P2" s="75"/>
      <c r="Q2" s="75"/>
      <c r="R2" s="75"/>
      <c r="S2" s="64" t="s">
        <v>3</v>
      </c>
      <c r="T2" s="65"/>
      <c r="U2" s="66">
        <v>46302</v>
      </c>
      <c r="V2" s="67"/>
      <c r="W2" s="64" t="s">
        <v>4</v>
      </c>
      <c r="X2" s="65"/>
      <c r="Y2" s="68" t="s">
        <v>5</v>
      </c>
      <c r="Z2" s="67"/>
      <c r="AA2" s="64" t="s">
        <v>6</v>
      </c>
      <c r="AB2" s="69"/>
      <c r="AC2" s="65"/>
      <c r="AD2" s="68" t="s">
        <v>7</v>
      </c>
      <c r="AE2" s="70"/>
      <c r="AF2" s="67"/>
    </row>
    <row r="3" spans="1:32" ht="13.2" customHeight="1">
      <c r="A3" s="22"/>
      <c r="B3" s="22"/>
      <c r="C3" s="23"/>
      <c r="D3" s="23"/>
      <c r="E3" s="23"/>
      <c r="F3" s="14"/>
      <c r="G3" s="75"/>
      <c r="H3" s="75"/>
      <c r="I3" s="75"/>
      <c r="J3" s="75"/>
      <c r="K3" s="75"/>
      <c r="L3" s="75"/>
      <c r="M3" s="75"/>
      <c r="N3" s="75"/>
      <c r="O3" s="75"/>
      <c r="P3" s="75"/>
      <c r="Q3" s="75"/>
      <c r="R3" s="75"/>
      <c r="S3" s="71"/>
      <c r="T3" s="71"/>
      <c r="U3" s="71"/>
      <c r="V3" s="71"/>
      <c r="W3" s="71"/>
      <c r="X3" s="71"/>
      <c r="Y3" s="71"/>
      <c r="Z3" s="71"/>
      <c r="AA3" s="71"/>
      <c r="AB3" s="71"/>
      <c r="AC3" s="71"/>
      <c r="AD3" s="71"/>
      <c r="AE3" s="71"/>
      <c r="AF3" s="71"/>
    </row>
    <row r="4" spans="1:32" ht="25.95" customHeight="1">
      <c r="A4" s="22"/>
      <c r="B4" s="22"/>
      <c r="C4" s="23"/>
      <c r="D4" s="23"/>
      <c r="E4" s="23"/>
      <c r="F4" s="14"/>
      <c r="G4" s="76" t="s">
        <v>8</v>
      </c>
      <c r="H4" s="76"/>
      <c r="I4" s="76"/>
      <c r="J4" s="76"/>
      <c r="K4" s="76"/>
      <c r="L4" s="76"/>
      <c r="M4" s="76"/>
      <c r="N4" s="76"/>
      <c r="O4" s="76"/>
      <c r="P4" s="76"/>
      <c r="Q4" s="76"/>
      <c r="R4" s="76"/>
      <c r="S4" s="64" t="s">
        <v>9</v>
      </c>
      <c r="T4" s="65"/>
      <c r="U4" s="68" t="s">
        <v>10</v>
      </c>
      <c r="V4" s="67"/>
      <c r="W4" s="64" t="s">
        <v>11</v>
      </c>
      <c r="X4" s="69"/>
      <c r="Y4" s="69"/>
      <c r="Z4" s="65"/>
      <c r="AA4" s="72">
        <v>0.85</v>
      </c>
      <c r="AB4" s="73"/>
      <c r="AC4" s="73"/>
      <c r="AD4" s="73"/>
      <c r="AE4" s="73"/>
      <c r="AF4" s="74"/>
    </row>
    <row r="5" spans="1:32" ht="7.95" customHeight="1">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row>
    <row r="6" spans="1:32" ht="25.95" customHeight="1">
      <c r="A6" s="59" t="s">
        <v>12</v>
      </c>
      <c r="B6" s="59"/>
      <c r="C6" s="59"/>
      <c r="D6" s="59"/>
      <c r="E6" s="59"/>
      <c r="F6" s="59"/>
      <c r="G6" s="59"/>
      <c r="H6" s="59"/>
      <c r="I6" s="60" t="s">
        <v>13</v>
      </c>
      <c r="J6" s="60"/>
      <c r="K6" s="60"/>
      <c r="L6" s="60"/>
      <c r="M6" s="60"/>
      <c r="N6" s="60"/>
      <c r="O6" s="60"/>
      <c r="P6" s="60"/>
      <c r="Q6" s="61" t="s">
        <v>14</v>
      </c>
      <c r="R6" s="61"/>
      <c r="S6" s="61"/>
      <c r="T6" s="61"/>
      <c r="U6" s="61"/>
      <c r="V6" s="61"/>
      <c r="W6" s="61"/>
      <c r="X6" s="61"/>
      <c r="Y6" s="62" t="s">
        <v>15</v>
      </c>
      <c r="Z6" s="62"/>
      <c r="AA6" s="62"/>
      <c r="AB6" s="62"/>
      <c r="AC6" s="62"/>
      <c r="AD6" s="62"/>
      <c r="AE6" s="62"/>
      <c r="AF6" s="62"/>
    </row>
    <row r="7" spans="1:32" ht="25.95" customHeight="1">
      <c r="A7" s="51">
        <f>IFERROR(SUM(P16:P23)/SUM(J16:J23),0)</f>
        <v>0.89555555555555555</v>
      </c>
      <c r="B7" s="52"/>
      <c r="C7" s="52"/>
      <c r="D7" s="52"/>
      <c r="E7" s="52"/>
      <c r="F7" s="52"/>
      <c r="G7" s="52"/>
      <c r="H7" s="52"/>
      <c r="I7" s="53">
        <f>IFERROR(SUMPRODUCT(S16:S23,V16:V23)/(SUM(P16:P23)*60),0)</f>
        <v>0.885471464019851</v>
      </c>
      <c r="J7" s="54"/>
      <c r="K7" s="54"/>
      <c r="L7" s="54"/>
      <c r="M7" s="54"/>
      <c r="N7" s="54"/>
      <c r="O7" s="54"/>
      <c r="P7" s="54"/>
      <c r="Q7" s="55">
        <f>IFERROR(SUM(Y16:Y23)/SUM(V16:V23),0)</f>
        <v>0.99570308303792032</v>
      </c>
      <c r="R7" s="56"/>
      <c r="S7" s="56"/>
      <c r="T7" s="56"/>
      <c r="U7" s="56"/>
      <c r="V7" s="56"/>
      <c r="W7" s="56"/>
      <c r="X7" s="56"/>
      <c r="Y7" s="57">
        <f>A7*I7*Q7</f>
        <v>0.78958148148148133</v>
      </c>
      <c r="Z7" s="58"/>
      <c r="AA7" s="58"/>
      <c r="AB7" s="58"/>
      <c r="AC7" s="58"/>
      <c r="AD7" s="58"/>
      <c r="AE7" s="58"/>
      <c r="AF7" s="58"/>
    </row>
    <row r="8" spans="1:32" ht="25.95" customHeight="1">
      <c r="A8" s="52"/>
      <c r="B8" s="52"/>
      <c r="C8" s="52"/>
      <c r="D8" s="52"/>
      <c r="E8" s="52"/>
      <c r="F8" s="52"/>
      <c r="G8" s="52"/>
      <c r="H8" s="52"/>
      <c r="I8" s="54"/>
      <c r="J8" s="54"/>
      <c r="K8" s="54"/>
      <c r="L8" s="54"/>
      <c r="M8" s="54"/>
      <c r="N8" s="54"/>
      <c r="O8" s="54"/>
      <c r="P8" s="54"/>
      <c r="Q8" s="56"/>
      <c r="R8" s="56"/>
      <c r="S8" s="56"/>
      <c r="T8" s="56"/>
      <c r="U8" s="56"/>
      <c r="V8" s="56"/>
      <c r="W8" s="56"/>
      <c r="X8" s="56"/>
      <c r="Y8" s="58"/>
      <c r="Z8" s="58"/>
      <c r="AA8" s="58"/>
      <c r="AB8" s="58"/>
      <c r="AC8" s="58"/>
      <c r="AD8" s="58"/>
      <c r="AE8" s="58"/>
      <c r="AF8" s="58"/>
    </row>
    <row r="9" spans="1:32" ht="25.95" customHeight="1">
      <c r="A9" s="52"/>
      <c r="B9" s="52"/>
      <c r="C9" s="52"/>
      <c r="D9" s="52"/>
      <c r="E9" s="52"/>
      <c r="F9" s="52"/>
      <c r="G9" s="52"/>
      <c r="H9" s="52"/>
      <c r="I9" s="54"/>
      <c r="J9" s="54"/>
      <c r="K9" s="54"/>
      <c r="L9" s="54"/>
      <c r="M9" s="54"/>
      <c r="N9" s="54"/>
      <c r="O9" s="54"/>
      <c r="P9" s="54"/>
      <c r="Q9" s="56"/>
      <c r="R9" s="56"/>
      <c r="S9" s="56"/>
      <c r="T9" s="56"/>
      <c r="U9" s="56"/>
      <c r="V9" s="56"/>
      <c r="W9" s="56"/>
      <c r="X9" s="56"/>
      <c r="Y9" s="58"/>
      <c r="Z9" s="58"/>
      <c r="AA9" s="58"/>
      <c r="AB9" s="58"/>
      <c r="AC9" s="58"/>
      <c r="AD9" s="58"/>
      <c r="AE9" s="58"/>
      <c r="AF9" s="58"/>
    </row>
    <row r="10" spans="1:32" ht="25.95" customHeight="1">
      <c r="A10" s="52"/>
      <c r="B10" s="52"/>
      <c r="C10" s="52"/>
      <c r="D10" s="52"/>
      <c r="E10" s="52"/>
      <c r="F10" s="52"/>
      <c r="G10" s="52"/>
      <c r="H10" s="52"/>
      <c r="I10" s="54"/>
      <c r="J10" s="54"/>
      <c r="K10" s="54"/>
      <c r="L10" s="54"/>
      <c r="M10" s="54"/>
      <c r="N10" s="54"/>
      <c r="O10" s="54"/>
      <c r="P10" s="54"/>
      <c r="Q10" s="56"/>
      <c r="R10" s="56"/>
      <c r="S10" s="56"/>
      <c r="T10" s="56"/>
      <c r="U10" s="56"/>
      <c r="V10" s="56"/>
      <c r="W10" s="56"/>
      <c r="X10" s="56"/>
      <c r="Y10" s="58"/>
      <c r="Z10" s="58"/>
      <c r="AA10" s="58"/>
      <c r="AB10" s="58"/>
      <c r="AC10" s="58"/>
      <c r="AD10" s="58"/>
      <c r="AE10" s="58"/>
      <c r="AF10" s="58"/>
    </row>
    <row r="11" spans="1:32" ht="25.95" customHeight="1">
      <c r="A11" s="77" t="s">
        <v>16</v>
      </c>
      <c r="B11" s="77"/>
      <c r="C11" s="77"/>
      <c r="D11" s="77"/>
      <c r="E11" s="77"/>
      <c r="F11" s="77"/>
      <c r="G11" s="77"/>
      <c r="H11" s="77"/>
      <c r="I11" s="77" t="s">
        <v>17</v>
      </c>
      <c r="J11" s="77"/>
      <c r="K11" s="77"/>
      <c r="L11" s="77"/>
      <c r="M11" s="77"/>
      <c r="N11" s="77"/>
      <c r="O11" s="77"/>
      <c r="P11" s="77"/>
      <c r="Q11" s="77" t="s">
        <v>18</v>
      </c>
      <c r="R11" s="77"/>
      <c r="S11" s="77"/>
      <c r="T11" s="77"/>
      <c r="U11" s="77"/>
      <c r="V11" s="77"/>
      <c r="W11" s="77"/>
      <c r="X11" s="77"/>
      <c r="Y11" s="77" t="s">
        <v>19</v>
      </c>
      <c r="Z11" s="77"/>
      <c r="AA11" s="77"/>
      <c r="AB11" s="77"/>
      <c r="AC11" s="77"/>
      <c r="AD11" s="77"/>
      <c r="AE11" s="77"/>
      <c r="AF11" s="77"/>
    </row>
    <row r="12" spans="1:32" ht="19.95" customHeight="1">
      <c r="A12" s="78" t="s">
        <v>20</v>
      </c>
      <c r="B12" s="78"/>
      <c r="C12" s="78"/>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8"/>
    </row>
    <row r="13" spans="1:32" ht="30" customHeight="1">
      <c r="A13" s="132" t="s">
        <v>21</v>
      </c>
      <c r="B13" s="132"/>
      <c r="C13" s="132"/>
      <c r="D13" s="132"/>
      <c r="E13" s="132"/>
      <c r="F13" s="132"/>
      <c r="G13" s="132"/>
      <c r="H13" s="132"/>
      <c r="I13" s="132"/>
      <c r="J13" s="132"/>
      <c r="K13" s="132"/>
      <c r="L13" s="132"/>
      <c r="M13" s="132"/>
      <c r="N13" s="132"/>
      <c r="O13" s="132"/>
      <c r="P13" s="132"/>
      <c r="Q13" s="132"/>
      <c r="R13" s="132"/>
      <c r="S13" s="132"/>
      <c r="T13" s="132"/>
      <c r="U13" s="132"/>
      <c r="V13" s="132"/>
      <c r="W13" s="132"/>
      <c r="X13" s="132"/>
      <c r="Y13" s="132"/>
      <c r="Z13" s="132"/>
      <c r="AA13" s="132"/>
      <c r="AB13" s="132"/>
      <c r="AC13" s="132"/>
      <c r="AD13" s="132"/>
      <c r="AE13" s="132"/>
      <c r="AF13" s="132"/>
    </row>
    <row r="14" spans="1:32" ht="25.95" customHeight="1">
      <c r="A14" s="79" t="s">
        <v>22</v>
      </c>
      <c r="B14" s="80"/>
      <c r="C14" s="81"/>
      <c r="D14" s="79" t="s">
        <v>23</v>
      </c>
      <c r="E14" s="80"/>
      <c r="F14" s="81"/>
      <c r="G14" s="79" t="s">
        <v>24</v>
      </c>
      <c r="H14" s="80"/>
      <c r="I14" s="81"/>
      <c r="J14" s="79" t="s">
        <v>25</v>
      </c>
      <c r="K14" s="80"/>
      <c r="L14" s="81"/>
      <c r="M14" s="79" t="s">
        <v>26</v>
      </c>
      <c r="N14" s="80"/>
      <c r="O14" s="81"/>
      <c r="P14" s="79" t="s">
        <v>27</v>
      </c>
      <c r="Q14" s="80"/>
      <c r="R14" s="81"/>
      <c r="S14" s="79" t="s">
        <v>28</v>
      </c>
      <c r="T14" s="80"/>
      <c r="U14" s="81"/>
      <c r="V14" s="79" t="s">
        <v>29</v>
      </c>
      <c r="W14" s="80"/>
      <c r="X14" s="81"/>
      <c r="Y14" s="79" t="s">
        <v>30</v>
      </c>
      <c r="Z14" s="80"/>
      <c r="AA14" s="81"/>
      <c r="AB14" s="79" t="s">
        <v>31</v>
      </c>
      <c r="AC14" s="80"/>
      <c r="AD14" s="81"/>
      <c r="AE14" s="79" t="s">
        <v>32</v>
      </c>
      <c r="AF14" s="81"/>
    </row>
    <row r="15" spans="1:32" ht="25.95" customHeight="1">
      <c r="A15" s="82"/>
      <c r="B15" s="83"/>
      <c r="C15" s="84"/>
      <c r="D15" s="82"/>
      <c r="E15" s="83"/>
      <c r="F15" s="84"/>
      <c r="G15" s="82"/>
      <c r="H15" s="83"/>
      <c r="I15" s="84"/>
      <c r="J15" s="82"/>
      <c r="K15" s="83"/>
      <c r="L15" s="84"/>
      <c r="M15" s="82"/>
      <c r="N15" s="83"/>
      <c r="O15" s="84"/>
      <c r="P15" s="82"/>
      <c r="Q15" s="83"/>
      <c r="R15" s="84"/>
      <c r="S15" s="82"/>
      <c r="T15" s="83"/>
      <c r="U15" s="84"/>
      <c r="V15" s="82"/>
      <c r="W15" s="83"/>
      <c r="X15" s="84"/>
      <c r="Y15" s="82"/>
      <c r="Z15" s="83"/>
      <c r="AA15" s="84"/>
      <c r="AB15" s="82"/>
      <c r="AC15" s="83"/>
      <c r="AD15" s="84"/>
      <c r="AE15" s="82"/>
      <c r="AF15" s="84"/>
    </row>
    <row r="16" spans="1:32" ht="24" customHeight="1">
      <c r="A16" s="85" t="s">
        <v>33</v>
      </c>
      <c r="B16" s="86"/>
      <c r="C16" s="87"/>
      <c r="D16" s="88">
        <f>SUMIFS('Production Data'!$E$6:$E$1000,'Production Data'!$A$6:$A$1000,$U$2,'Production Data'!$B$6:$B$1000,$Y$2,'Production Data'!$C$6:$C$1000,$AD$2,'Production Data'!$D$6:$D$1000,$A16)</f>
        <v>60</v>
      </c>
      <c r="E16" s="89"/>
      <c r="F16" s="90"/>
      <c r="G16" s="88">
        <f>SUMIFS('Production Data'!$F$6:$F$1000,'Production Data'!$A$6:$A$1000,$U$2,'Production Data'!$B$6:$B$1000,$Y$2,'Production Data'!$C$6:$C$1000,$AD$2,'Production Data'!$D$6:$D$1000,$A16)</f>
        <v>0</v>
      </c>
      <c r="H16" s="89"/>
      <c r="I16" s="90"/>
      <c r="J16" s="88">
        <f>SUMIFS('Production Data'!$G$6:$G$1000,'Production Data'!$A$6:$A$1000,$U$2,'Production Data'!$B$6:$B$1000,$Y$2,'Production Data'!$C$6:$C$1000,$AD$2,'Production Data'!$D$6:$D$1000,$A16)</f>
        <v>60</v>
      </c>
      <c r="K16" s="89"/>
      <c r="L16" s="90"/>
      <c r="M16" s="88">
        <f>SUMIFS('Production Data'!$L$6:$L$1000,'Production Data'!$A$6:$A$1000,$U$2,'Production Data'!$B$6:$B$1000,$Y$2,'Production Data'!$C$6:$C$1000,$AD$2,'Production Data'!$D$6:$D$1000,$A16)</f>
        <v>4</v>
      </c>
      <c r="N16" s="89"/>
      <c r="O16" s="90"/>
      <c r="P16" s="88">
        <f>SUMIFS('Production Data'!$M$6:$M$1000,'Production Data'!$A$6:$A$1000,$U$2,'Production Data'!$B$6:$B$1000,$Y$2,'Production Data'!$C$6:$C$1000,$AD$2,'Production Data'!$D$6:$D$1000,$A16)</f>
        <v>56</v>
      </c>
      <c r="Q16" s="89"/>
      <c r="R16" s="90"/>
      <c r="S16" s="91">
        <f>IFERROR(SUMIFS('Production Data'!$H$6:$H$1000,'Production Data'!$A$6:$A$1000,$U$2,'Production Data'!$B$6:$B$1000,$Y$2,'Production Data'!$C$6:$C$1000,$AD$2,'Production Data'!$D$6:$D$1000,$A16)/COUNTIFS('Production Data'!$A$6:$A$1000,$U$2,'Production Data'!$B$6:$B$1000,$Y$2,'Production Data'!$C$6:$C$1000,$AD$2,'Production Data'!$D$6:$D$1000,$A16),0)</f>
        <v>2.2999999999999998</v>
      </c>
      <c r="T16" s="89"/>
      <c r="U16" s="90"/>
      <c r="V16" s="88">
        <f>SUMIFS('Production Data'!$I$6:$I$1000,'Production Data'!$A$6:$A$1000,$U$2,'Production Data'!$B$6:$B$1000,$Y$2,'Production Data'!$C$6:$C$1000,$AD$2,'Production Data'!$D$6:$D$1000,$A16)</f>
        <v>1320</v>
      </c>
      <c r="W16" s="89"/>
      <c r="X16" s="90"/>
      <c r="Y16" s="88">
        <f>SUMIFS('Production Data'!$K$6:$K$1000,'Production Data'!$A$6:$A$1000,$U$2,'Production Data'!$B$6:$B$1000,$Y$2,'Production Data'!$C$6:$C$1000,$AD$2,'Production Data'!$D$6:$D$1000,$A16)</f>
        <v>1316</v>
      </c>
      <c r="Z16" s="89"/>
      <c r="AA16" s="90"/>
      <c r="AB16" s="88">
        <f>SUMIFS('Production Data'!$J$6:$J$1000,'Production Data'!$A$6:$A$1000,$U$2,'Production Data'!$B$6:$B$1000,$Y$2,'Production Data'!$C$6:$C$1000,$AD$2,'Production Data'!$D$6:$D$1000,$A16)</f>
        <v>4</v>
      </c>
      <c r="AC16" s="89"/>
      <c r="AD16" s="90"/>
      <c r="AE16" s="92">
        <f t="shared" ref="AE16:AE23" si="0">IFERROR((P16/J16)*(S16*V16/(P16*60))*(Y16/V16),0)</f>
        <v>0.84077777777777774</v>
      </c>
      <c r="AF16" s="93"/>
    </row>
    <row r="17" spans="1:32" ht="24" customHeight="1">
      <c r="A17" s="85" t="s">
        <v>34</v>
      </c>
      <c r="B17" s="86"/>
      <c r="C17" s="87"/>
      <c r="D17" s="88">
        <f>SUMIFS('Production Data'!$E$6:$E$1000,'Production Data'!$A$6:$A$1000,$U$2,'Production Data'!$B$6:$B$1000,$Y$2,'Production Data'!$C$6:$C$1000,$AD$2,'Production Data'!$D$6:$D$1000,$A17)</f>
        <v>60</v>
      </c>
      <c r="E17" s="89"/>
      <c r="F17" s="90"/>
      <c r="G17" s="88">
        <f>SUMIFS('Production Data'!$F$6:$F$1000,'Production Data'!$A$6:$A$1000,$U$2,'Production Data'!$B$6:$B$1000,$Y$2,'Production Data'!$C$6:$C$1000,$AD$2,'Production Data'!$D$6:$D$1000,$A17)</f>
        <v>0</v>
      </c>
      <c r="H17" s="89"/>
      <c r="I17" s="90"/>
      <c r="J17" s="88">
        <f>SUMIFS('Production Data'!$G$6:$G$1000,'Production Data'!$A$6:$A$1000,$U$2,'Production Data'!$B$6:$B$1000,$Y$2,'Production Data'!$C$6:$C$1000,$AD$2,'Production Data'!$D$6:$D$1000,$A17)</f>
        <v>60</v>
      </c>
      <c r="K17" s="89"/>
      <c r="L17" s="90"/>
      <c r="M17" s="88">
        <f>SUMIFS('Production Data'!$L$6:$L$1000,'Production Data'!$A$6:$A$1000,$U$2,'Production Data'!$B$6:$B$1000,$Y$2,'Production Data'!$C$6:$C$1000,$AD$2,'Production Data'!$D$6:$D$1000,$A17)</f>
        <v>9</v>
      </c>
      <c r="N17" s="89"/>
      <c r="O17" s="90"/>
      <c r="P17" s="88">
        <f>SUMIFS('Production Data'!$M$6:$M$1000,'Production Data'!$A$6:$A$1000,$U$2,'Production Data'!$B$6:$B$1000,$Y$2,'Production Data'!$C$6:$C$1000,$AD$2,'Production Data'!$D$6:$D$1000,$A17)</f>
        <v>51</v>
      </c>
      <c r="Q17" s="89"/>
      <c r="R17" s="90"/>
      <c r="S17" s="91">
        <f>IFERROR(SUMIFS('Production Data'!$H$6:$H$1000,'Production Data'!$A$6:$A$1000,$U$2,'Production Data'!$B$6:$B$1000,$Y$2,'Production Data'!$C$6:$C$1000,$AD$2,'Production Data'!$D$6:$D$1000,$A17)/COUNTIFS('Production Data'!$A$6:$A$1000,$U$2,'Production Data'!$B$6:$B$1000,$Y$2,'Production Data'!$C$6:$C$1000,$AD$2,'Production Data'!$D$6:$D$1000,$A17),0)</f>
        <v>2.2999999999999998</v>
      </c>
      <c r="T17" s="89"/>
      <c r="U17" s="90"/>
      <c r="V17" s="88">
        <f>SUMIFS('Production Data'!$I$6:$I$1000,'Production Data'!$A$6:$A$1000,$U$2,'Production Data'!$B$6:$B$1000,$Y$2,'Production Data'!$C$6:$C$1000,$AD$2,'Production Data'!$D$6:$D$1000,$A17)</f>
        <v>1230</v>
      </c>
      <c r="W17" s="89"/>
      <c r="X17" s="90"/>
      <c r="Y17" s="88">
        <f>SUMIFS('Production Data'!$K$6:$K$1000,'Production Data'!$A$6:$A$1000,$U$2,'Production Data'!$B$6:$B$1000,$Y$2,'Production Data'!$C$6:$C$1000,$AD$2,'Production Data'!$D$6:$D$1000,$A17)</f>
        <v>1224</v>
      </c>
      <c r="Z17" s="89"/>
      <c r="AA17" s="90"/>
      <c r="AB17" s="88">
        <f>SUMIFS('Production Data'!$J$6:$J$1000,'Production Data'!$A$6:$A$1000,$U$2,'Production Data'!$B$6:$B$1000,$Y$2,'Production Data'!$C$6:$C$1000,$AD$2,'Production Data'!$D$6:$D$1000,$A17)</f>
        <v>6</v>
      </c>
      <c r="AC17" s="89"/>
      <c r="AD17" s="90"/>
      <c r="AE17" s="92">
        <f t="shared" si="0"/>
        <v>0.78200000000000003</v>
      </c>
      <c r="AF17" s="93"/>
    </row>
    <row r="18" spans="1:32" ht="24" customHeight="1">
      <c r="A18" s="85" t="s">
        <v>35</v>
      </c>
      <c r="B18" s="86"/>
      <c r="C18" s="87"/>
      <c r="D18" s="88">
        <f>SUMIFS('Production Data'!$E$6:$E$1000,'Production Data'!$A$6:$A$1000,$U$2,'Production Data'!$B$6:$B$1000,$Y$2,'Production Data'!$C$6:$C$1000,$AD$2,'Production Data'!$D$6:$D$1000,$A18)</f>
        <v>60</v>
      </c>
      <c r="E18" s="89"/>
      <c r="F18" s="90"/>
      <c r="G18" s="88">
        <f>SUMIFS('Production Data'!$F$6:$F$1000,'Production Data'!$A$6:$A$1000,$U$2,'Production Data'!$B$6:$B$1000,$Y$2,'Production Data'!$C$6:$C$1000,$AD$2,'Production Data'!$D$6:$D$1000,$A18)</f>
        <v>0</v>
      </c>
      <c r="H18" s="89"/>
      <c r="I18" s="90"/>
      <c r="J18" s="88">
        <f>SUMIFS('Production Data'!$G$6:$G$1000,'Production Data'!$A$6:$A$1000,$U$2,'Production Data'!$B$6:$B$1000,$Y$2,'Production Data'!$C$6:$C$1000,$AD$2,'Production Data'!$D$6:$D$1000,$A18)</f>
        <v>60</v>
      </c>
      <c r="K18" s="89"/>
      <c r="L18" s="90"/>
      <c r="M18" s="88">
        <f>SUMIFS('Production Data'!$L$6:$L$1000,'Production Data'!$A$6:$A$1000,$U$2,'Production Data'!$B$6:$B$1000,$Y$2,'Production Data'!$C$6:$C$1000,$AD$2,'Production Data'!$D$6:$D$1000,$A18)</f>
        <v>5</v>
      </c>
      <c r="N18" s="89"/>
      <c r="O18" s="90"/>
      <c r="P18" s="88">
        <f>SUMIFS('Production Data'!$M$6:$M$1000,'Production Data'!$A$6:$A$1000,$U$2,'Production Data'!$B$6:$B$1000,$Y$2,'Production Data'!$C$6:$C$1000,$AD$2,'Production Data'!$D$6:$D$1000,$A18)</f>
        <v>55</v>
      </c>
      <c r="Q18" s="89"/>
      <c r="R18" s="90"/>
      <c r="S18" s="91">
        <f>IFERROR(SUMIFS('Production Data'!$H$6:$H$1000,'Production Data'!$A$6:$A$1000,$U$2,'Production Data'!$B$6:$B$1000,$Y$2,'Production Data'!$C$6:$C$1000,$AD$2,'Production Data'!$D$6:$D$1000,$A18)/COUNTIFS('Production Data'!$A$6:$A$1000,$U$2,'Production Data'!$B$6:$B$1000,$Y$2,'Production Data'!$C$6:$C$1000,$AD$2,'Production Data'!$D$6:$D$1000,$A18),0)</f>
        <v>2.2999999999999998</v>
      </c>
      <c r="T18" s="89"/>
      <c r="U18" s="90"/>
      <c r="V18" s="88">
        <f>SUMIFS('Production Data'!$I$6:$I$1000,'Production Data'!$A$6:$A$1000,$U$2,'Production Data'!$B$6:$B$1000,$Y$2,'Production Data'!$C$6:$C$1000,$AD$2,'Production Data'!$D$6:$D$1000,$A18)</f>
        <v>1357</v>
      </c>
      <c r="W18" s="89"/>
      <c r="X18" s="90"/>
      <c r="Y18" s="88">
        <f>SUMIFS('Production Data'!$K$6:$K$1000,'Production Data'!$A$6:$A$1000,$U$2,'Production Data'!$B$6:$B$1000,$Y$2,'Production Data'!$C$6:$C$1000,$AD$2,'Production Data'!$D$6:$D$1000,$A18)</f>
        <v>1349</v>
      </c>
      <c r="Z18" s="89"/>
      <c r="AA18" s="90"/>
      <c r="AB18" s="88">
        <f>SUMIFS('Production Data'!$J$6:$J$1000,'Production Data'!$A$6:$A$1000,$U$2,'Production Data'!$B$6:$B$1000,$Y$2,'Production Data'!$C$6:$C$1000,$AD$2,'Production Data'!$D$6:$D$1000,$A18)</f>
        <v>8</v>
      </c>
      <c r="AC18" s="89"/>
      <c r="AD18" s="90"/>
      <c r="AE18" s="92">
        <f t="shared" si="0"/>
        <v>0.86186111111111108</v>
      </c>
      <c r="AF18" s="93"/>
    </row>
    <row r="19" spans="1:32" ht="24" customHeight="1">
      <c r="A19" s="85" t="s">
        <v>36</v>
      </c>
      <c r="B19" s="86"/>
      <c r="C19" s="87"/>
      <c r="D19" s="88">
        <f>SUMIFS('Production Data'!$E$6:$E$1000,'Production Data'!$A$6:$A$1000,$U$2,'Production Data'!$B$6:$B$1000,$Y$2,'Production Data'!$C$6:$C$1000,$AD$2,'Production Data'!$D$6:$D$1000,$A19)</f>
        <v>60</v>
      </c>
      <c r="E19" s="89"/>
      <c r="F19" s="90"/>
      <c r="G19" s="88">
        <f>SUMIFS('Production Data'!$F$6:$F$1000,'Production Data'!$A$6:$A$1000,$U$2,'Production Data'!$B$6:$B$1000,$Y$2,'Production Data'!$C$6:$C$1000,$AD$2,'Production Data'!$D$6:$D$1000,$A19)</f>
        <v>0</v>
      </c>
      <c r="H19" s="89"/>
      <c r="I19" s="90"/>
      <c r="J19" s="88">
        <f>SUMIFS('Production Data'!$G$6:$G$1000,'Production Data'!$A$6:$A$1000,$U$2,'Production Data'!$B$6:$B$1000,$Y$2,'Production Data'!$C$6:$C$1000,$AD$2,'Production Data'!$D$6:$D$1000,$A19)</f>
        <v>60</v>
      </c>
      <c r="K19" s="89"/>
      <c r="L19" s="90"/>
      <c r="M19" s="88">
        <f>SUMIFS('Production Data'!$L$6:$L$1000,'Production Data'!$A$6:$A$1000,$U$2,'Production Data'!$B$6:$B$1000,$Y$2,'Production Data'!$C$6:$C$1000,$AD$2,'Production Data'!$D$6:$D$1000,$A19)</f>
        <v>9</v>
      </c>
      <c r="N19" s="89"/>
      <c r="O19" s="90"/>
      <c r="P19" s="88">
        <f>SUMIFS('Production Data'!$M$6:$M$1000,'Production Data'!$A$6:$A$1000,$U$2,'Production Data'!$B$6:$B$1000,$Y$2,'Production Data'!$C$6:$C$1000,$AD$2,'Production Data'!$D$6:$D$1000,$A19)</f>
        <v>51</v>
      </c>
      <c r="Q19" s="89"/>
      <c r="R19" s="90"/>
      <c r="S19" s="91">
        <f>IFERROR(SUMIFS('Production Data'!$H$6:$H$1000,'Production Data'!$A$6:$A$1000,$U$2,'Production Data'!$B$6:$B$1000,$Y$2,'Production Data'!$C$6:$C$1000,$AD$2,'Production Data'!$D$6:$D$1000,$A19)/COUNTIFS('Production Data'!$A$6:$A$1000,$U$2,'Production Data'!$B$6:$B$1000,$Y$2,'Production Data'!$C$6:$C$1000,$AD$2,'Production Data'!$D$6:$D$1000,$A19),0)</f>
        <v>2.2999999999999998</v>
      </c>
      <c r="T19" s="89"/>
      <c r="U19" s="90"/>
      <c r="V19" s="88">
        <f>SUMIFS('Production Data'!$I$6:$I$1000,'Production Data'!$A$6:$A$1000,$U$2,'Production Data'!$B$6:$B$1000,$Y$2,'Production Data'!$C$6:$C$1000,$AD$2,'Production Data'!$D$6:$D$1000,$A19)</f>
        <v>1090</v>
      </c>
      <c r="W19" s="89"/>
      <c r="X19" s="90"/>
      <c r="Y19" s="88">
        <f>SUMIFS('Production Data'!$K$6:$K$1000,'Production Data'!$A$6:$A$1000,$U$2,'Production Data'!$B$6:$B$1000,$Y$2,'Production Data'!$C$6:$C$1000,$AD$2,'Production Data'!$D$6:$D$1000,$A19)</f>
        <v>1088</v>
      </c>
      <c r="Z19" s="89"/>
      <c r="AA19" s="90"/>
      <c r="AB19" s="88">
        <f>SUMIFS('Production Data'!$J$6:$J$1000,'Production Data'!$A$6:$A$1000,$U$2,'Production Data'!$B$6:$B$1000,$Y$2,'Production Data'!$C$6:$C$1000,$AD$2,'Production Data'!$D$6:$D$1000,$A19)</f>
        <v>2</v>
      </c>
      <c r="AC19" s="89"/>
      <c r="AD19" s="90"/>
      <c r="AE19" s="92">
        <f t="shared" si="0"/>
        <v>0.69511111111111112</v>
      </c>
      <c r="AF19" s="93"/>
    </row>
    <row r="20" spans="1:32" ht="24" customHeight="1">
      <c r="A20" s="85" t="s">
        <v>37</v>
      </c>
      <c r="B20" s="86"/>
      <c r="C20" s="87"/>
      <c r="D20" s="88">
        <f>SUMIFS('Production Data'!$E$6:$E$1000,'Production Data'!$A$6:$A$1000,$U$2,'Production Data'!$B$6:$B$1000,$Y$2,'Production Data'!$C$6:$C$1000,$AD$2,'Production Data'!$D$6:$D$1000,$A20)</f>
        <v>60</v>
      </c>
      <c r="E20" s="89"/>
      <c r="F20" s="90"/>
      <c r="G20" s="88">
        <f>SUMIFS('Production Data'!$F$6:$F$1000,'Production Data'!$A$6:$A$1000,$U$2,'Production Data'!$B$6:$B$1000,$Y$2,'Production Data'!$C$6:$C$1000,$AD$2,'Production Data'!$D$6:$D$1000,$A20)</f>
        <v>0</v>
      </c>
      <c r="H20" s="89"/>
      <c r="I20" s="90"/>
      <c r="J20" s="88">
        <f>SUMIFS('Production Data'!$G$6:$G$1000,'Production Data'!$A$6:$A$1000,$U$2,'Production Data'!$B$6:$B$1000,$Y$2,'Production Data'!$C$6:$C$1000,$AD$2,'Production Data'!$D$6:$D$1000,$A20)</f>
        <v>60</v>
      </c>
      <c r="K20" s="89"/>
      <c r="L20" s="90"/>
      <c r="M20" s="88">
        <f>SUMIFS('Production Data'!$L$6:$L$1000,'Production Data'!$A$6:$A$1000,$U$2,'Production Data'!$B$6:$B$1000,$Y$2,'Production Data'!$C$6:$C$1000,$AD$2,'Production Data'!$D$6:$D$1000,$A20)</f>
        <v>6</v>
      </c>
      <c r="N20" s="89"/>
      <c r="O20" s="90"/>
      <c r="P20" s="88">
        <f>SUMIFS('Production Data'!$M$6:$M$1000,'Production Data'!$A$6:$A$1000,$U$2,'Production Data'!$B$6:$B$1000,$Y$2,'Production Data'!$C$6:$C$1000,$AD$2,'Production Data'!$D$6:$D$1000,$A20)</f>
        <v>54</v>
      </c>
      <c r="Q20" s="89"/>
      <c r="R20" s="90"/>
      <c r="S20" s="91">
        <f>IFERROR(SUMIFS('Production Data'!$H$6:$H$1000,'Production Data'!$A$6:$A$1000,$U$2,'Production Data'!$B$6:$B$1000,$Y$2,'Production Data'!$C$6:$C$1000,$AD$2,'Production Data'!$D$6:$D$1000,$A20)/COUNTIFS('Production Data'!$A$6:$A$1000,$U$2,'Production Data'!$B$6:$B$1000,$Y$2,'Production Data'!$C$6:$C$1000,$AD$2,'Production Data'!$D$6:$D$1000,$A20),0)</f>
        <v>2.2999999999999998</v>
      </c>
      <c r="T20" s="89"/>
      <c r="U20" s="90"/>
      <c r="V20" s="88">
        <f>SUMIFS('Production Data'!$I$6:$I$1000,'Production Data'!$A$6:$A$1000,$U$2,'Production Data'!$B$6:$B$1000,$Y$2,'Production Data'!$C$6:$C$1000,$AD$2,'Production Data'!$D$6:$D$1000,$A20)</f>
        <v>1184</v>
      </c>
      <c r="W20" s="89"/>
      <c r="X20" s="90"/>
      <c r="Y20" s="88">
        <f>SUMIFS('Production Data'!$K$6:$K$1000,'Production Data'!$A$6:$A$1000,$U$2,'Production Data'!$B$6:$B$1000,$Y$2,'Production Data'!$C$6:$C$1000,$AD$2,'Production Data'!$D$6:$D$1000,$A20)</f>
        <v>1180</v>
      </c>
      <c r="Z20" s="89"/>
      <c r="AA20" s="90"/>
      <c r="AB20" s="88">
        <f>SUMIFS('Production Data'!$J$6:$J$1000,'Production Data'!$A$6:$A$1000,$U$2,'Production Data'!$B$6:$B$1000,$Y$2,'Production Data'!$C$6:$C$1000,$AD$2,'Production Data'!$D$6:$D$1000,$A20)</f>
        <v>4</v>
      </c>
      <c r="AC20" s="89"/>
      <c r="AD20" s="90"/>
      <c r="AE20" s="92">
        <f t="shared" si="0"/>
        <v>0.75388888888888894</v>
      </c>
      <c r="AF20" s="93"/>
    </row>
    <row r="21" spans="1:32" ht="24" customHeight="1">
      <c r="A21" s="85" t="s">
        <v>38</v>
      </c>
      <c r="B21" s="86"/>
      <c r="C21" s="87"/>
      <c r="D21" s="88">
        <f>SUMIFS('Production Data'!$E$6:$E$1000,'Production Data'!$A$6:$A$1000,$U$2,'Production Data'!$B$6:$B$1000,$Y$2,'Production Data'!$C$6:$C$1000,$AD$2,'Production Data'!$D$6:$D$1000,$A21)</f>
        <v>60</v>
      </c>
      <c r="E21" s="89"/>
      <c r="F21" s="90"/>
      <c r="G21" s="88">
        <f>SUMIFS('Production Data'!$F$6:$F$1000,'Production Data'!$A$6:$A$1000,$U$2,'Production Data'!$B$6:$B$1000,$Y$2,'Production Data'!$C$6:$C$1000,$AD$2,'Production Data'!$D$6:$D$1000,$A21)</f>
        <v>0</v>
      </c>
      <c r="H21" s="89"/>
      <c r="I21" s="90"/>
      <c r="J21" s="88">
        <f>SUMIFS('Production Data'!$G$6:$G$1000,'Production Data'!$A$6:$A$1000,$U$2,'Production Data'!$B$6:$B$1000,$Y$2,'Production Data'!$C$6:$C$1000,$AD$2,'Production Data'!$D$6:$D$1000,$A21)</f>
        <v>60</v>
      </c>
      <c r="K21" s="89"/>
      <c r="L21" s="90"/>
      <c r="M21" s="88">
        <f>SUMIFS('Production Data'!$L$6:$L$1000,'Production Data'!$A$6:$A$1000,$U$2,'Production Data'!$B$6:$B$1000,$Y$2,'Production Data'!$C$6:$C$1000,$AD$2,'Production Data'!$D$6:$D$1000,$A21)</f>
        <v>3</v>
      </c>
      <c r="N21" s="89"/>
      <c r="O21" s="90"/>
      <c r="P21" s="88">
        <f>SUMIFS('Production Data'!$M$6:$M$1000,'Production Data'!$A$6:$A$1000,$U$2,'Production Data'!$B$6:$B$1000,$Y$2,'Production Data'!$C$6:$C$1000,$AD$2,'Production Data'!$D$6:$D$1000,$A21)</f>
        <v>57</v>
      </c>
      <c r="Q21" s="89"/>
      <c r="R21" s="90"/>
      <c r="S21" s="91">
        <f>IFERROR(SUMIFS('Production Data'!$H$6:$H$1000,'Production Data'!$A$6:$A$1000,$U$2,'Production Data'!$B$6:$B$1000,$Y$2,'Production Data'!$C$6:$C$1000,$AD$2,'Production Data'!$D$6:$D$1000,$A21)/COUNTIFS('Production Data'!$A$6:$A$1000,$U$2,'Production Data'!$B$6:$B$1000,$Y$2,'Production Data'!$C$6:$C$1000,$AD$2,'Production Data'!$D$6:$D$1000,$A21),0)</f>
        <v>2.2999999999999998</v>
      </c>
      <c r="T21" s="89"/>
      <c r="U21" s="90"/>
      <c r="V21" s="88">
        <f>SUMIFS('Production Data'!$I$6:$I$1000,'Production Data'!$A$6:$A$1000,$U$2,'Production Data'!$B$6:$B$1000,$Y$2,'Production Data'!$C$6:$C$1000,$AD$2,'Production Data'!$D$6:$D$1000,$A21)</f>
        <v>1281</v>
      </c>
      <c r="W21" s="89"/>
      <c r="X21" s="90"/>
      <c r="Y21" s="88">
        <f>SUMIFS('Production Data'!$K$6:$K$1000,'Production Data'!$A$6:$A$1000,$U$2,'Production Data'!$B$6:$B$1000,$Y$2,'Production Data'!$C$6:$C$1000,$AD$2,'Production Data'!$D$6:$D$1000,$A21)</f>
        <v>1275</v>
      </c>
      <c r="Z21" s="89"/>
      <c r="AA21" s="90"/>
      <c r="AB21" s="88">
        <f>SUMIFS('Production Data'!$J$6:$J$1000,'Production Data'!$A$6:$A$1000,$U$2,'Production Data'!$B$6:$B$1000,$Y$2,'Production Data'!$C$6:$C$1000,$AD$2,'Production Data'!$D$6:$D$1000,$A21)</f>
        <v>6</v>
      </c>
      <c r="AC21" s="89"/>
      <c r="AD21" s="90"/>
      <c r="AE21" s="92">
        <f t="shared" si="0"/>
        <v>0.8145833333333331</v>
      </c>
      <c r="AF21" s="93"/>
    </row>
    <row r="22" spans="1:32" ht="24" customHeight="1">
      <c r="A22" s="85" t="s">
        <v>39</v>
      </c>
      <c r="B22" s="86"/>
      <c r="C22" s="87"/>
      <c r="D22" s="88">
        <f>SUMIFS('Production Data'!$E$6:$E$1000,'Production Data'!$A$6:$A$1000,$U$2,'Production Data'!$B$6:$B$1000,$Y$2,'Production Data'!$C$6:$C$1000,$AD$2,'Production Data'!$D$6:$D$1000,$A22)</f>
        <v>60</v>
      </c>
      <c r="E22" s="89"/>
      <c r="F22" s="90"/>
      <c r="G22" s="88">
        <f>SUMIFS('Production Data'!$F$6:$F$1000,'Production Data'!$A$6:$A$1000,$U$2,'Production Data'!$B$6:$B$1000,$Y$2,'Production Data'!$C$6:$C$1000,$AD$2,'Production Data'!$D$6:$D$1000,$A22)</f>
        <v>30</v>
      </c>
      <c r="H22" s="89"/>
      <c r="I22" s="90"/>
      <c r="J22" s="88">
        <f>SUMIFS('Production Data'!$G$6:$G$1000,'Production Data'!$A$6:$A$1000,$U$2,'Production Data'!$B$6:$B$1000,$Y$2,'Production Data'!$C$6:$C$1000,$AD$2,'Production Data'!$D$6:$D$1000,$A22)</f>
        <v>30</v>
      </c>
      <c r="K22" s="89"/>
      <c r="L22" s="90"/>
      <c r="M22" s="88">
        <f>SUMIFS('Production Data'!$L$6:$L$1000,'Production Data'!$A$6:$A$1000,$U$2,'Production Data'!$B$6:$B$1000,$Y$2,'Production Data'!$C$6:$C$1000,$AD$2,'Production Data'!$D$6:$D$1000,$A22)</f>
        <v>3</v>
      </c>
      <c r="N22" s="89"/>
      <c r="O22" s="90"/>
      <c r="P22" s="88">
        <f>SUMIFS('Production Data'!$M$6:$M$1000,'Production Data'!$A$6:$A$1000,$U$2,'Production Data'!$B$6:$B$1000,$Y$2,'Production Data'!$C$6:$C$1000,$AD$2,'Production Data'!$D$6:$D$1000,$A22)</f>
        <v>27</v>
      </c>
      <c r="Q22" s="89"/>
      <c r="R22" s="90"/>
      <c r="S22" s="91">
        <f>IFERROR(SUMIFS('Production Data'!$H$6:$H$1000,'Production Data'!$A$6:$A$1000,$U$2,'Production Data'!$B$6:$B$1000,$Y$2,'Production Data'!$C$6:$C$1000,$AD$2,'Production Data'!$D$6:$D$1000,$A22)/COUNTIFS('Production Data'!$A$6:$A$1000,$U$2,'Production Data'!$B$6:$B$1000,$Y$2,'Production Data'!$C$6:$C$1000,$AD$2,'Production Data'!$D$6:$D$1000,$A22),0)</f>
        <v>2.2999999999999998</v>
      </c>
      <c r="T22" s="89"/>
      <c r="U22" s="90"/>
      <c r="V22" s="88">
        <f>SUMIFS('Production Data'!$I$6:$I$1000,'Production Data'!$A$6:$A$1000,$U$2,'Production Data'!$B$6:$B$1000,$Y$2,'Production Data'!$C$6:$C$1000,$AD$2,'Production Data'!$D$6:$D$1000,$A22)</f>
        <v>621</v>
      </c>
      <c r="W22" s="89"/>
      <c r="X22" s="90"/>
      <c r="Y22" s="88">
        <f>SUMIFS('Production Data'!$K$6:$K$1000,'Production Data'!$A$6:$A$1000,$U$2,'Production Data'!$B$6:$B$1000,$Y$2,'Production Data'!$C$6:$C$1000,$AD$2,'Production Data'!$D$6:$D$1000,$A22)</f>
        <v>613</v>
      </c>
      <c r="Z22" s="89"/>
      <c r="AA22" s="90"/>
      <c r="AB22" s="88">
        <f>SUMIFS('Production Data'!$J$6:$J$1000,'Production Data'!$A$6:$A$1000,$U$2,'Production Data'!$B$6:$B$1000,$Y$2,'Production Data'!$C$6:$C$1000,$AD$2,'Production Data'!$D$6:$D$1000,$A22)</f>
        <v>8</v>
      </c>
      <c r="AC22" s="89"/>
      <c r="AD22" s="90"/>
      <c r="AE22" s="92">
        <f t="shared" si="0"/>
        <v>0.78327777777777785</v>
      </c>
      <c r="AF22" s="93"/>
    </row>
    <row r="23" spans="1:32" ht="24" customHeight="1">
      <c r="A23" s="85" t="s">
        <v>40</v>
      </c>
      <c r="B23" s="86"/>
      <c r="C23" s="87"/>
      <c r="D23" s="88">
        <f>SUMIFS('Production Data'!$E$6:$E$1000,'Production Data'!$A$6:$A$1000,$U$2,'Production Data'!$B$6:$B$1000,$Y$2,'Production Data'!$C$6:$C$1000,$AD$2,'Production Data'!$D$6:$D$1000,$A23)</f>
        <v>60</v>
      </c>
      <c r="E23" s="89"/>
      <c r="F23" s="90"/>
      <c r="G23" s="88">
        <f>SUMIFS('Production Data'!$F$6:$F$1000,'Production Data'!$A$6:$A$1000,$U$2,'Production Data'!$B$6:$B$1000,$Y$2,'Production Data'!$C$6:$C$1000,$AD$2,'Production Data'!$D$6:$D$1000,$A23)</f>
        <v>0</v>
      </c>
      <c r="H23" s="89"/>
      <c r="I23" s="90"/>
      <c r="J23" s="88">
        <f>SUMIFS('Production Data'!$G$6:$G$1000,'Production Data'!$A$6:$A$1000,$U$2,'Production Data'!$B$6:$B$1000,$Y$2,'Production Data'!$C$6:$C$1000,$AD$2,'Production Data'!$D$6:$D$1000,$A23)</f>
        <v>60</v>
      </c>
      <c r="K23" s="89"/>
      <c r="L23" s="90"/>
      <c r="M23" s="88">
        <f>SUMIFS('Production Data'!$L$6:$L$1000,'Production Data'!$A$6:$A$1000,$U$2,'Production Data'!$B$6:$B$1000,$Y$2,'Production Data'!$C$6:$C$1000,$AD$2,'Production Data'!$D$6:$D$1000,$A23)</f>
        <v>8</v>
      </c>
      <c r="N23" s="89"/>
      <c r="O23" s="90"/>
      <c r="P23" s="88">
        <f>SUMIFS('Production Data'!$M$6:$M$1000,'Production Data'!$A$6:$A$1000,$U$2,'Production Data'!$B$6:$B$1000,$Y$2,'Production Data'!$C$6:$C$1000,$AD$2,'Production Data'!$D$6:$D$1000,$A23)</f>
        <v>52</v>
      </c>
      <c r="Q23" s="89"/>
      <c r="R23" s="90"/>
      <c r="S23" s="91">
        <f>IFERROR(SUMIFS('Production Data'!$H$6:$H$1000,'Production Data'!$A$6:$A$1000,$U$2,'Production Data'!$B$6:$B$1000,$Y$2,'Production Data'!$C$6:$C$1000,$AD$2,'Production Data'!$D$6:$D$1000,$A23)/COUNTIFS('Production Data'!$A$6:$A$1000,$U$2,'Production Data'!$B$6:$B$1000,$Y$2,'Production Data'!$C$6:$C$1000,$AD$2,'Production Data'!$D$6:$D$1000,$A23),0)</f>
        <v>2.2999999999999998</v>
      </c>
      <c r="T23" s="89"/>
      <c r="U23" s="90"/>
      <c r="V23" s="88">
        <f>SUMIFS('Production Data'!$I$6:$I$1000,'Production Data'!$A$6:$A$1000,$U$2,'Production Data'!$B$6:$B$1000,$Y$2,'Production Data'!$C$6:$C$1000,$AD$2,'Production Data'!$D$6:$D$1000,$A23)</f>
        <v>1226</v>
      </c>
      <c r="W23" s="89"/>
      <c r="X23" s="90"/>
      <c r="Y23" s="88">
        <f>SUMIFS('Production Data'!$K$6:$K$1000,'Production Data'!$A$6:$A$1000,$U$2,'Production Data'!$B$6:$B$1000,$Y$2,'Production Data'!$C$6:$C$1000,$AD$2,'Production Data'!$D$6:$D$1000,$A23)</f>
        <v>1224</v>
      </c>
      <c r="Z23" s="89"/>
      <c r="AA23" s="90"/>
      <c r="AB23" s="88">
        <f>SUMIFS('Production Data'!$J$6:$J$1000,'Production Data'!$A$6:$A$1000,$U$2,'Production Data'!$B$6:$B$1000,$Y$2,'Production Data'!$C$6:$C$1000,$AD$2,'Production Data'!$D$6:$D$1000,$A23)</f>
        <v>2</v>
      </c>
      <c r="AC23" s="89"/>
      <c r="AD23" s="90"/>
      <c r="AE23" s="92">
        <f t="shared" si="0"/>
        <v>0.78199999999999992</v>
      </c>
      <c r="AF23" s="93"/>
    </row>
    <row r="24" spans="1:32" ht="28.95" customHeight="1">
      <c r="A24" s="94" t="s">
        <v>41</v>
      </c>
      <c r="B24" s="95"/>
      <c r="C24" s="96"/>
      <c r="D24" s="94">
        <f>SUM(D16:D23)</f>
        <v>480</v>
      </c>
      <c r="E24" s="95"/>
      <c r="F24" s="96"/>
      <c r="G24" s="94">
        <f>SUM(G16:G23)</f>
        <v>30</v>
      </c>
      <c r="H24" s="95"/>
      <c r="I24" s="96"/>
      <c r="J24" s="94">
        <f>SUM(J16:J23)</f>
        <v>450</v>
      </c>
      <c r="K24" s="95"/>
      <c r="L24" s="96"/>
      <c r="M24" s="94">
        <f>SUM(M16:M23)</f>
        <v>47</v>
      </c>
      <c r="N24" s="95"/>
      <c r="O24" s="96"/>
      <c r="P24" s="94">
        <f>SUM(P16:P23)</f>
        <v>403</v>
      </c>
      <c r="Q24" s="95"/>
      <c r="R24" s="96"/>
      <c r="S24" s="97" t="s">
        <v>42</v>
      </c>
      <c r="T24" s="98"/>
      <c r="U24" s="99"/>
      <c r="V24" s="94">
        <f>SUM(V16:V23)</f>
        <v>9309</v>
      </c>
      <c r="W24" s="95"/>
      <c r="X24" s="96"/>
      <c r="Y24" s="94">
        <f>SUM(Y16:Y23)</f>
        <v>9269</v>
      </c>
      <c r="Z24" s="95"/>
      <c r="AA24" s="96"/>
      <c r="AB24" s="94">
        <f>SUM(AB16:AB23)</f>
        <v>40</v>
      </c>
      <c r="AC24" s="95"/>
      <c r="AD24" s="96"/>
      <c r="AE24" s="92">
        <f>Y7</f>
        <v>0.78958148148148133</v>
      </c>
      <c r="AF24" s="93"/>
    </row>
    <row r="25" spans="1:32" ht="9"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row>
    <row r="26" spans="1:32" ht="30" customHeight="1">
      <c r="A26" s="131" t="s">
        <v>43</v>
      </c>
      <c r="B26" s="131"/>
      <c r="C26" s="131"/>
      <c r="D26" s="131"/>
      <c r="E26" s="131"/>
      <c r="F26" s="131"/>
      <c r="G26" s="131"/>
      <c r="H26" s="131"/>
      <c r="I26" s="131"/>
      <c r="J26" s="131"/>
      <c r="K26" s="131"/>
      <c r="L26" s="131"/>
      <c r="M26" s="131"/>
      <c r="N26" s="131"/>
      <c r="O26" s="131"/>
      <c r="P26" s="131"/>
      <c r="Q26" s="131" t="s">
        <v>44</v>
      </c>
      <c r="R26" s="131"/>
      <c r="S26" s="131"/>
      <c r="T26" s="131"/>
      <c r="U26" s="131"/>
      <c r="V26" s="131"/>
      <c r="W26" s="131"/>
      <c r="X26" s="131"/>
      <c r="Y26" s="131"/>
      <c r="Z26" s="131"/>
      <c r="AA26" s="131"/>
      <c r="AB26" s="131"/>
      <c r="AC26" s="131"/>
      <c r="AD26" s="131"/>
      <c r="AE26" s="131"/>
      <c r="AF26" s="131"/>
    </row>
    <row r="27" spans="1:32" ht="19.95" customHeight="1">
      <c r="A27" s="104" t="s">
        <v>45</v>
      </c>
      <c r="B27" s="105"/>
      <c r="C27" s="104" t="s">
        <v>46</v>
      </c>
      <c r="D27" s="106"/>
      <c r="E27" s="106"/>
      <c r="F27" s="106"/>
      <c r="G27" s="106"/>
      <c r="H27" s="106"/>
      <c r="I27" s="106"/>
      <c r="J27" s="105"/>
      <c r="K27" s="104" t="s">
        <v>47</v>
      </c>
      <c r="L27" s="106"/>
      <c r="M27" s="105"/>
      <c r="N27" s="104" t="s">
        <v>48</v>
      </c>
      <c r="O27" s="106"/>
      <c r="P27" s="105"/>
      <c r="Q27" s="13"/>
      <c r="R27" s="13"/>
      <c r="S27" s="13"/>
      <c r="T27" s="13"/>
      <c r="U27" s="13"/>
      <c r="V27" s="13"/>
      <c r="W27" s="13"/>
      <c r="X27" s="13"/>
      <c r="Y27" s="13"/>
      <c r="Z27" s="13"/>
      <c r="AA27" s="13"/>
      <c r="AB27" s="13"/>
      <c r="AC27" s="13"/>
      <c r="AD27" s="13"/>
      <c r="AE27" s="13"/>
      <c r="AF27" s="13"/>
    </row>
    <row r="28" spans="1:32" ht="25.05" customHeight="1">
      <c r="A28" s="85">
        <v>1</v>
      </c>
      <c r="B28" s="87"/>
      <c r="C28" s="100" t="s">
        <v>49</v>
      </c>
      <c r="D28" s="101"/>
      <c r="E28" s="101"/>
      <c r="F28" s="101"/>
      <c r="G28" s="101"/>
      <c r="H28" s="101"/>
      <c r="I28" s="101"/>
      <c r="J28" s="102"/>
      <c r="K28" s="88">
        <f>SUMIFS('Downtime Log'!$G$6:$G$1000,'Downtime Log'!$A$6:$A$1000,$U$2,'Downtime Log'!$B$6:$B$1000,$Y$2,'Downtime Log'!$C$6:$C$1000,$AD$2,'Downtime Log'!$E$6:$E$1000,"BRK")</f>
        <v>13</v>
      </c>
      <c r="L28" s="89"/>
      <c r="M28" s="90"/>
      <c r="N28" s="103">
        <f>IFERROR(K28/$M$24,0)</f>
        <v>0.27659574468085107</v>
      </c>
      <c r="O28" s="89"/>
      <c r="P28" s="90"/>
      <c r="Q28" s="13"/>
      <c r="R28" s="13"/>
      <c r="S28" s="13"/>
      <c r="T28" s="13"/>
      <c r="U28" s="13"/>
      <c r="V28" s="13"/>
      <c r="W28" s="13"/>
      <c r="X28" s="13"/>
      <c r="Y28" s="13"/>
      <c r="Z28" s="13"/>
      <c r="AA28" s="13"/>
      <c r="AB28" s="13"/>
      <c r="AC28" s="13"/>
      <c r="AD28" s="13"/>
      <c r="AE28" s="13"/>
      <c r="AF28" s="13"/>
    </row>
    <row r="29" spans="1:32" ht="25.05" customHeight="1">
      <c r="A29" s="85">
        <v>2</v>
      </c>
      <c r="B29" s="87"/>
      <c r="C29" s="100" t="s">
        <v>50</v>
      </c>
      <c r="D29" s="101"/>
      <c r="E29" s="101"/>
      <c r="F29" s="101"/>
      <c r="G29" s="101"/>
      <c r="H29" s="101"/>
      <c r="I29" s="101"/>
      <c r="J29" s="102"/>
      <c r="K29" s="88">
        <f>SUMIFS('Downtime Log'!$G$6:$G$1000,'Downtime Log'!$A$6:$A$1000,$U$2,'Downtime Log'!$B$6:$B$1000,$Y$2,'Downtime Log'!$C$6:$C$1000,$AD$2,'Downtime Log'!$E$6:$E$1000,"SET")</f>
        <v>9</v>
      </c>
      <c r="L29" s="89"/>
      <c r="M29" s="90"/>
      <c r="N29" s="103">
        <f>IFERROR(K29/$M$24,0)</f>
        <v>0.19148936170212766</v>
      </c>
      <c r="O29" s="89"/>
      <c r="P29" s="90"/>
      <c r="Q29" s="13"/>
      <c r="R29" s="13"/>
      <c r="S29" s="13"/>
      <c r="T29" s="13"/>
      <c r="U29" s="13"/>
      <c r="V29" s="13"/>
      <c r="W29" s="13"/>
      <c r="X29" s="13"/>
      <c r="Y29" s="13"/>
      <c r="Z29" s="13"/>
      <c r="AA29" s="13"/>
      <c r="AB29" s="13"/>
      <c r="AC29" s="13"/>
      <c r="AD29" s="13"/>
      <c r="AE29" s="13"/>
      <c r="AF29" s="13"/>
    </row>
    <row r="30" spans="1:32" ht="25.05" customHeight="1">
      <c r="A30" s="85">
        <v>3</v>
      </c>
      <c r="B30" s="87"/>
      <c r="C30" s="100" t="s">
        <v>51</v>
      </c>
      <c r="D30" s="101"/>
      <c r="E30" s="101"/>
      <c r="F30" s="101"/>
      <c r="G30" s="101"/>
      <c r="H30" s="101"/>
      <c r="I30" s="101"/>
      <c r="J30" s="102"/>
      <c r="K30" s="88">
        <f>SUMIFS('Downtime Log'!$G$6:$G$1000,'Downtime Log'!$A$6:$A$1000,$U$2,'Downtime Log'!$B$6:$B$1000,$Y$2,'Downtime Log'!$C$6:$C$1000,$AD$2,'Downtime Log'!$E$6:$E$1000,"WAIT")</f>
        <v>10</v>
      </c>
      <c r="L30" s="89"/>
      <c r="M30" s="90"/>
      <c r="N30" s="103">
        <f>IFERROR(K30/$M$24,0)</f>
        <v>0.21276595744680851</v>
      </c>
      <c r="O30" s="89"/>
      <c r="P30" s="90"/>
      <c r="Q30" s="13"/>
      <c r="R30" s="13"/>
      <c r="S30" s="13"/>
      <c r="T30" s="13"/>
      <c r="U30" s="13"/>
      <c r="V30" s="13"/>
      <c r="W30" s="13"/>
      <c r="X30" s="13"/>
      <c r="Y30" s="13"/>
      <c r="Z30" s="13"/>
      <c r="AA30" s="13"/>
      <c r="AB30" s="13"/>
      <c r="AC30" s="13"/>
      <c r="AD30" s="13"/>
      <c r="AE30" s="13"/>
      <c r="AF30" s="13"/>
    </row>
    <row r="31" spans="1:32" ht="25.05" customHeight="1">
      <c r="A31" s="85">
        <v>4</v>
      </c>
      <c r="B31" s="87"/>
      <c r="C31" s="100" t="s">
        <v>52</v>
      </c>
      <c r="D31" s="101"/>
      <c r="E31" s="101"/>
      <c r="F31" s="101"/>
      <c r="G31" s="101"/>
      <c r="H31" s="101"/>
      <c r="I31" s="101"/>
      <c r="J31" s="102"/>
      <c r="K31" s="88">
        <f>SUMIFS('Downtime Log'!$G$6:$G$1000,'Downtime Log'!$A$6:$A$1000,$U$2,'Downtime Log'!$B$6:$B$1000,$Y$2,'Downtime Log'!$C$6:$C$1000,$AD$2,'Downtime Log'!$E$6:$E$1000,"MIN")</f>
        <v>12</v>
      </c>
      <c r="L31" s="89"/>
      <c r="M31" s="90"/>
      <c r="N31" s="103">
        <f>IFERROR(K31/$M$24,0)</f>
        <v>0.25531914893617019</v>
      </c>
      <c r="O31" s="89"/>
      <c r="P31" s="90"/>
      <c r="Q31" s="13"/>
      <c r="R31" s="13"/>
      <c r="S31" s="13"/>
      <c r="T31" s="13"/>
      <c r="U31" s="13"/>
      <c r="V31" s="13"/>
      <c r="W31" s="13"/>
      <c r="X31" s="13"/>
      <c r="Y31" s="13"/>
      <c r="Z31" s="13"/>
      <c r="AA31" s="13"/>
      <c r="AB31" s="13"/>
      <c r="AC31" s="13"/>
      <c r="AD31" s="13"/>
      <c r="AE31" s="13"/>
      <c r="AF31" s="13"/>
    </row>
    <row r="32" spans="1:32" ht="25.05" customHeight="1">
      <c r="A32" s="85">
        <v>5</v>
      </c>
      <c r="B32" s="87"/>
      <c r="C32" s="100" t="s">
        <v>53</v>
      </c>
      <c r="D32" s="101"/>
      <c r="E32" s="101"/>
      <c r="F32" s="101"/>
      <c r="G32" s="101"/>
      <c r="H32" s="101"/>
      <c r="I32" s="101"/>
      <c r="J32" s="102"/>
      <c r="K32" s="88">
        <f>SUMIFS('Downtime Log'!$G$6:$G$1000,'Downtime Log'!$A$6:$A$1000,$U$2,'Downtime Log'!$B$6:$B$1000,$Y$2,'Downtime Log'!$C$6:$C$1000,$AD$2,'Downtime Log'!$E$6:$E$1000,"START")</f>
        <v>3</v>
      </c>
      <c r="L32" s="89"/>
      <c r="M32" s="90"/>
      <c r="N32" s="103">
        <f>IFERROR(K32/$M$24,0)</f>
        <v>6.3829787234042548E-2</v>
      </c>
      <c r="O32" s="89"/>
      <c r="P32" s="90"/>
      <c r="Q32" s="13"/>
      <c r="R32" s="13"/>
      <c r="S32" s="13"/>
      <c r="T32" s="13"/>
      <c r="U32" s="13"/>
      <c r="V32" s="13"/>
      <c r="W32" s="13"/>
      <c r="X32" s="13"/>
      <c r="Y32" s="13"/>
      <c r="Z32" s="13"/>
      <c r="AA32" s="13"/>
      <c r="AB32" s="13"/>
      <c r="AC32" s="13"/>
      <c r="AD32" s="13"/>
      <c r="AE32" s="13"/>
      <c r="AF32" s="13"/>
    </row>
    <row r="33" spans="1:32" ht="25.95" customHeight="1">
      <c r="A33" s="109" t="s">
        <v>54</v>
      </c>
      <c r="B33" s="110"/>
      <c r="C33" s="110"/>
      <c r="D33" s="110"/>
      <c r="E33" s="110"/>
      <c r="F33" s="110"/>
      <c r="G33" s="110"/>
      <c r="H33" s="110"/>
      <c r="I33" s="110"/>
      <c r="J33" s="111"/>
      <c r="K33" s="112">
        <f>SUM(K28:K32)</f>
        <v>47</v>
      </c>
      <c r="L33" s="113"/>
      <c r="M33" s="114"/>
      <c r="N33" s="115">
        <f>IFERROR(K33/M24,0)</f>
        <v>1</v>
      </c>
      <c r="O33" s="113"/>
      <c r="P33" s="114"/>
      <c r="Q33" s="13"/>
      <c r="R33" s="13"/>
      <c r="S33" s="13"/>
      <c r="T33" s="13"/>
      <c r="U33" s="13"/>
      <c r="V33" s="13"/>
      <c r="W33" s="13"/>
      <c r="X33" s="13"/>
      <c r="Y33" s="13"/>
      <c r="Z33" s="13"/>
      <c r="AA33" s="13"/>
      <c r="AB33" s="13"/>
      <c r="AC33" s="13"/>
      <c r="AD33" s="13"/>
      <c r="AE33" s="13"/>
      <c r="AF33" s="13"/>
    </row>
    <row r="34" spans="1:32" ht="19.9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row>
    <row r="35" spans="1:32" ht="19.95" customHeight="1">
      <c r="A35" s="116" t="s">
        <v>55</v>
      </c>
      <c r="B35" s="117"/>
      <c r="C35" s="117"/>
      <c r="D35" s="117"/>
      <c r="E35" s="117"/>
      <c r="F35" s="117"/>
      <c r="G35" s="117"/>
      <c r="H35" s="117"/>
      <c r="I35" s="117"/>
      <c r="J35" s="117"/>
      <c r="K35" s="117"/>
      <c r="L35" s="117"/>
      <c r="M35" s="117"/>
      <c r="N35" s="117"/>
      <c r="O35" s="117"/>
      <c r="P35" s="118"/>
      <c r="Q35" s="13"/>
      <c r="R35" s="13"/>
      <c r="S35" s="13"/>
      <c r="T35" s="13"/>
      <c r="U35" s="13"/>
      <c r="V35" s="13"/>
      <c r="W35" s="13"/>
      <c r="X35" s="13"/>
      <c r="Y35" s="13"/>
      <c r="Z35" s="13"/>
      <c r="AA35" s="13"/>
      <c r="AB35" s="13"/>
      <c r="AC35" s="13"/>
      <c r="AD35" s="13"/>
      <c r="AE35" s="13"/>
      <c r="AF35" s="13"/>
    </row>
    <row r="36" spans="1:32" ht="19.95" customHeight="1">
      <c r="A36" s="119"/>
      <c r="B36" s="120"/>
      <c r="C36" s="120"/>
      <c r="D36" s="120"/>
      <c r="E36" s="120"/>
      <c r="F36" s="120"/>
      <c r="G36" s="120"/>
      <c r="H36" s="120"/>
      <c r="I36" s="120"/>
      <c r="J36" s="120"/>
      <c r="K36" s="120"/>
      <c r="L36" s="120"/>
      <c r="M36" s="120"/>
      <c r="N36" s="120"/>
      <c r="O36" s="120"/>
      <c r="P36" s="121"/>
      <c r="Q36" s="13"/>
      <c r="R36" s="13"/>
      <c r="S36" s="13"/>
      <c r="T36" s="13"/>
      <c r="U36" s="13"/>
      <c r="V36" s="13"/>
      <c r="W36" s="13"/>
      <c r="X36" s="13"/>
      <c r="Y36" s="13"/>
      <c r="Z36" s="13"/>
      <c r="AA36" s="13"/>
      <c r="AB36" s="13"/>
      <c r="AC36" s="13"/>
      <c r="AD36" s="13"/>
      <c r="AE36" s="13"/>
      <c r="AF36" s="13"/>
    </row>
    <row r="37" spans="1:32" ht="19.95" customHeight="1">
      <c r="A37" s="122"/>
      <c r="B37" s="123"/>
      <c r="C37" s="123"/>
      <c r="D37" s="123"/>
      <c r="E37" s="123"/>
      <c r="F37" s="123"/>
      <c r="G37" s="123"/>
      <c r="H37" s="123"/>
      <c r="I37" s="123"/>
      <c r="J37" s="123"/>
      <c r="K37" s="123"/>
      <c r="L37" s="123"/>
      <c r="M37" s="123"/>
      <c r="N37" s="123"/>
      <c r="O37" s="123"/>
      <c r="P37" s="124"/>
      <c r="Q37" s="13"/>
      <c r="R37" s="13"/>
      <c r="S37" s="13"/>
      <c r="T37" s="13"/>
      <c r="U37" s="13"/>
      <c r="V37" s="13"/>
      <c r="W37" s="13"/>
      <c r="X37" s="13"/>
      <c r="Y37" s="13"/>
      <c r="Z37" s="13"/>
      <c r="AA37" s="13"/>
      <c r="AB37" s="13"/>
      <c r="AC37" s="13"/>
      <c r="AD37" s="13"/>
      <c r="AE37" s="13"/>
      <c r="AF37" s="13"/>
    </row>
    <row r="38" spans="1:32" ht="19.9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row>
    <row r="39" spans="1:32" ht="19.95" customHeight="1">
      <c r="A39" s="125" t="str">
        <f>IF(Y7&lt;AA4,"CẦN CẢI TIẾN  •  OEE dưới mục tiêu","ĐẠT MỤC TIÊU  •  Duy trì &amp; chuẩn hóa")</f>
        <v>CẦN CẢI TIẾN  •  OEE dưới mục tiêu</v>
      </c>
      <c r="B39" s="126"/>
      <c r="C39" s="126"/>
      <c r="D39" s="126"/>
      <c r="E39" s="126"/>
      <c r="F39" s="126"/>
      <c r="G39" s="126"/>
      <c r="H39" s="126"/>
      <c r="I39" s="126"/>
      <c r="J39" s="126"/>
      <c r="K39" s="126"/>
      <c r="L39" s="126"/>
      <c r="M39" s="126"/>
      <c r="N39" s="126"/>
      <c r="O39" s="126"/>
      <c r="P39" s="127"/>
      <c r="Q39" s="13"/>
      <c r="R39" s="13"/>
      <c r="S39" s="13"/>
      <c r="T39" s="13"/>
      <c r="U39" s="13"/>
      <c r="V39" s="13"/>
      <c r="W39" s="13"/>
      <c r="X39" s="13"/>
      <c r="Y39" s="13"/>
      <c r="Z39" s="13"/>
      <c r="AA39" s="13"/>
      <c r="AB39" s="13"/>
      <c r="AC39" s="13"/>
      <c r="AD39" s="13"/>
      <c r="AE39" s="13"/>
      <c r="AF39" s="13"/>
    </row>
    <row r="40" spans="1:32" ht="19.95" customHeight="1">
      <c r="A40" s="128"/>
      <c r="B40" s="129"/>
      <c r="C40" s="129"/>
      <c r="D40" s="129"/>
      <c r="E40" s="129"/>
      <c r="F40" s="129"/>
      <c r="G40" s="129"/>
      <c r="H40" s="129"/>
      <c r="I40" s="129"/>
      <c r="J40" s="129"/>
      <c r="K40" s="129"/>
      <c r="L40" s="129"/>
      <c r="M40" s="129"/>
      <c r="N40" s="129"/>
      <c r="O40" s="129"/>
      <c r="P40" s="130"/>
      <c r="Q40" s="13"/>
      <c r="R40" s="13"/>
      <c r="S40" s="13"/>
      <c r="T40" s="13"/>
      <c r="U40" s="13"/>
      <c r="V40" s="13"/>
      <c r="W40" s="13"/>
      <c r="X40" s="13"/>
      <c r="Y40" s="13"/>
      <c r="Z40" s="13"/>
      <c r="AA40" s="13"/>
      <c r="AB40" s="13"/>
      <c r="AC40" s="13"/>
      <c r="AD40" s="13"/>
      <c r="AE40" s="13"/>
      <c r="AF40" s="13"/>
    </row>
    <row r="41" spans="1:32" ht="19.9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row>
    <row r="42" spans="1:32" ht="30" customHeight="1">
      <c r="A42" s="132" t="s">
        <v>56</v>
      </c>
      <c r="B42" s="13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row>
    <row r="43" spans="1:32" ht="27" customHeight="1">
      <c r="A43" s="104" t="s">
        <v>45</v>
      </c>
      <c r="B43" s="105"/>
      <c r="C43" s="104" t="s">
        <v>57</v>
      </c>
      <c r="D43" s="106"/>
      <c r="E43" s="106"/>
      <c r="F43" s="106"/>
      <c r="G43" s="106"/>
      <c r="H43" s="106"/>
      <c r="I43" s="106"/>
      <c r="J43" s="105"/>
      <c r="K43" s="104" t="s">
        <v>58</v>
      </c>
      <c r="L43" s="106"/>
      <c r="M43" s="106"/>
      <c r="N43" s="106"/>
      <c r="O43" s="106"/>
      <c r="P43" s="106"/>
      <c r="Q43" s="106"/>
      <c r="R43" s="105"/>
      <c r="S43" s="104" t="s">
        <v>59</v>
      </c>
      <c r="T43" s="106"/>
      <c r="U43" s="106"/>
      <c r="V43" s="105"/>
      <c r="W43" s="104" t="s">
        <v>60</v>
      </c>
      <c r="X43" s="106"/>
      <c r="Y43" s="106"/>
      <c r="Z43" s="106"/>
      <c r="AA43" s="105"/>
      <c r="AB43" s="104" t="s">
        <v>61</v>
      </c>
      <c r="AC43" s="106"/>
      <c r="AD43" s="106"/>
      <c r="AE43" s="106"/>
      <c r="AF43" s="105"/>
    </row>
    <row r="44" spans="1:32" ht="28.95" customHeight="1">
      <c r="A44" s="107">
        <v>1</v>
      </c>
      <c r="B44" s="108"/>
      <c r="C44" s="18"/>
      <c r="D44" s="19"/>
      <c r="E44" s="19"/>
      <c r="F44" s="19"/>
      <c r="G44" s="19"/>
      <c r="H44" s="19"/>
      <c r="I44" s="19"/>
      <c r="J44" s="20"/>
      <c r="K44" s="18"/>
      <c r="L44" s="19"/>
      <c r="M44" s="19"/>
      <c r="N44" s="19"/>
      <c r="O44" s="19"/>
      <c r="P44" s="19"/>
      <c r="Q44" s="19"/>
      <c r="R44" s="20"/>
      <c r="S44" s="18"/>
      <c r="T44" s="19"/>
      <c r="U44" s="19"/>
      <c r="V44" s="20"/>
      <c r="W44" s="21"/>
      <c r="X44" s="19"/>
      <c r="Y44" s="19"/>
      <c r="Z44" s="19"/>
      <c r="AA44" s="20"/>
      <c r="AB44" s="18"/>
      <c r="AC44" s="19"/>
      <c r="AD44" s="19"/>
      <c r="AE44" s="19"/>
      <c r="AF44" s="20"/>
    </row>
    <row r="45" spans="1:32" ht="28.95" customHeight="1">
      <c r="A45" s="107">
        <v>2</v>
      </c>
      <c r="B45" s="108"/>
      <c r="C45" s="18"/>
      <c r="D45" s="19"/>
      <c r="E45" s="19"/>
      <c r="F45" s="19"/>
      <c r="G45" s="19"/>
      <c r="H45" s="19"/>
      <c r="I45" s="19"/>
      <c r="J45" s="20"/>
      <c r="K45" s="18"/>
      <c r="L45" s="19"/>
      <c r="M45" s="19"/>
      <c r="N45" s="19"/>
      <c r="O45" s="19"/>
      <c r="P45" s="19"/>
      <c r="Q45" s="19"/>
      <c r="R45" s="20"/>
      <c r="S45" s="18"/>
      <c r="T45" s="19"/>
      <c r="U45" s="19"/>
      <c r="V45" s="20"/>
      <c r="W45" s="21"/>
      <c r="X45" s="19"/>
      <c r="Y45" s="19"/>
      <c r="Z45" s="19"/>
      <c r="AA45" s="20"/>
      <c r="AB45" s="18"/>
      <c r="AC45" s="19"/>
      <c r="AD45" s="19"/>
      <c r="AE45" s="19"/>
      <c r="AF45" s="20"/>
    </row>
    <row r="46" spans="1:32" ht="28.95" customHeight="1">
      <c r="A46" s="107">
        <v>3</v>
      </c>
      <c r="B46" s="108"/>
      <c r="C46" s="18"/>
      <c r="D46" s="19"/>
      <c r="E46" s="19"/>
      <c r="F46" s="19"/>
      <c r="G46" s="19"/>
      <c r="H46" s="19"/>
      <c r="I46" s="19"/>
      <c r="J46" s="20"/>
      <c r="K46" s="18"/>
      <c r="L46" s="19"/>
      <c r="M46" s="19"/>
      <c r="N46" s="19"/>
      <c r="O46" s="19"/>
      <c r="P46" s="19"/>
      <c r="Q46" s="19"/>
      <c r="R46" s="20"/>
      <c r="S46" s="18"/>
      <c r="T46" s="19"/>
      <c r="U46" s="19"/>
      <c r="V46" s="20"/>
      <c r="W46" s="21"/>
      <c r="X46" s="19"/>
      <c r="Y46" s="19"/>
      <c r="Z46" s="19"/>
      <c r="AA46" s="20"/>
      <c r="AB46" s="18"/>
      <c r="AC46" s="19"/>
      <c r="AD46" s="19"/>
      <c r="AE46" s="19"/>
      <c r="AF46" s="20"/>
    </row>
    <row r="47" spans="1:32" ht="28.95" customHeight="1">
      <c r="A47" s="107">
        <v>4</v>
      </c>
      <c r="B47" s="108"/>
      <c r="C47" s="18"/>
      <c r="D47" s="19"/>
      <c r="E47" s="19"/>
      <c r="F47" s="19"/>
      <c r="G47" s="19"/>
      <c r="H47" s="19"/>
      <c r="I47" s="19"/>
      <c r="J47" s="20"/>
      <c r="K47" s="18"/>
      <c r="L47" s="19"/>
      <c r="M47" s="19"/>
      <c r="N47" s="19"/>
      <c r="O47" s="19"/>
      <c r="P47" s="19"/>
      <c r="Q47" s="19"/>
      <c r="R47" s="20"/>
      <c r="S47" s="18"/>
      <c r="T47" s="19"/>
      <c r="U47" s="19"/>
      <c r="V47" s="20"/>
      <c r="W47" s="21"/>
      <c r="X47" s="19"/>
      <c r="Y47" s="19"/>
      <c r="Z47" s="19"/>
      <c r="AA47" s="20"/>
      <c r="AB47" s="18"/>
      <c r="AC47" s="19"/>
      <c r="AD47" s="19"/>
      <c r="AE47" s="19"/>
      <c r="AF47" s="20"/>
    </row>
    <row r="48" spans="1:32" ht="28.95" customHeight="1">
      <c r="A48" s="107">
        <v>5</v>
      </c>
      <c r="B48" s="108"/>
      <c r="C48" s="18"/>
      <c r="D48" s="19"/>
      <c r="E48" s="19"/>
      <c r="F48" s="19"/>
      <c r="G48" s="19"/>
      <c r="H48" s="19"/>
      <c r="I48" s="19"/>
      <c r="J48" s="20"/>
      <c r="K48" s="18"/>
      <c r="L48" s="19"/>
      <c r="M48" s="19"/>
      <c r="N48" s="19"/>
      <c r="O48" s="19"/>
      <c r="P48" s="19"/>
      <c r="Q48" s="19"/>
      <c r="R48" s="20"/>
      <c r="S48" s="18"/>
      <c r="T48" s="19"/>
      <c r="U48" s="19"/>
      <c r="V48" s="20"/>
      <c r="W48" s="21"/>
      <c r="X48" s="19"/>
      <c r="Y48" s="19"/>
      <c r="Z48" s="19"/>
      <c r="AA48" s="20"/>
      <c r="AB48" s="18"/>
      <c r="AC48" s="19"/>
      <c r="AD48" s="19"/>
      <c r="AE48" s="19"/>
      <c r="AF48" s="20"/>
    </row>
    <row r="49" spans="1:32" ht="19.9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row>
    <row r="50" spans="1:32" ht="19.95" customHeight="1">
      <c r="A50" s="116" t="s">
        <v>62</v>
      </c>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8"/>
    </row>
    <row r="51" spans="1:32" ht="19.95" customHeight="1">
      <c r="A51" s="122"/>
      <c r="B51" s="123"/>
      <c r="C51" s="123"/>
      <c r="D51" s="123"/>
      <c r="E51" s="123"/>
      <c r="F51" s="123"/>
      <c r="G51" s="123"/>
      <c r="H51" s="123"/>
      <c r="I51" s="123"/>
      <c r="J51" s="123"/>
      <c r="K51" s="123"/>
      <c r="L51" s="123"/>
      <c r="M51" s="123"/>
      <c r="N51" s="123"/>
      <c r="O51" s="123"/>
      <c r="P51" s="123"/>
      <c r="Q51" s="123"/>
      <c r="R51" s="123"/>
      <c r="S51" s="123"/>
      <c r="T51" s="123"/>
      <c r="U51" s="123"/>
      <c r="V51" s="123"/>
      <c r="W51" s="123"/>
      <c r="X51" s="123"/>
      <c r="Y51" s="123"/>
      <c r="Z51" s="123"/>
      <c r="AA51" s="123"/>
      <c r="AB51" s="123"/>
      <c r="AC51" s="123"/>
      <c r="AD51" s="123"/>
      <c r="AE51" s="123"/>
      <c r="AF51" s="124"/>
    </row>
    <row r="52" spans="1:32" ht="19.95" customHeight="1">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row>
    <row r="53" spans="1:32" ht="22.05" customHeight="1">
      <c r="A53" s="133" t="s">
        <v>63</v>
      </c>
      <c r="B53" s="133"/>
      <c r="C53" s="133"/>
      <c r="D53" s="133"/>
      <c r="E53" s="133"/>
      <c r="F53" s="133"/>
      <c r="G53" s="133"/>
      <c r="H53" s="133"/>
      <c r="I53" s="133"/>
      <c r="J53" s="133"/>
      <c r="K53" s="133"/>
      <c r="L53" s="133"/>
      <c r="M53" s="133"/>
      <c r="N53" s="133"/>
      <c r="O53" s="133"/>
      <c r="P53" s="133"/>
      <c r="Q53" s="133"/>
      <c r="R53" s="133"/>
      <c r="S53" s="133"/>
      <c r="T53" s="133"/>
      <c r="U53" s="133"/>
      <c r="V53" s="133"/>
      <c r="W53" s="133"/>
      <c r="X53" s="133"/>
      <c r="Y53" s="133"/>
      <c r="Z53" s="133"/>
      <c r="AA53" s="133"/>
      <c r="AB53" s="133"/>
      <c r="AC53" s="133"/>
      <c r="AD53" s="133"/>
      <c r="AE53" s="133"/>
      <c r="AF53" s="133"/>
    </row>
    <row r="54" spans="1:32" ht="19.9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row>
    <row r="55" spans="1:32" ht="19.9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row>
    <row r="56" spans="1:32" ht="19.9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row>
    <row r="57" spans="1:32" ht="19.9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row>
  </sheetData>
  <mergeCells count="208">
    <mergeCell ref="A53:AF53"/>
    <mergeCell ref="AB48:AF48"/>
    <mergeCell ref="A50:AF51"/>
    <mergeCell ref="A2:B4"/>
    <mergeCell ref="C2:E4"/>
    <mergeCell ref="G2:R3"/>
    <mergeCell ref="G4:R4"/>
    <mergeCell ref="A48:B48"/>
    <mergeCell ref="C48:J48"/>
    <mergeCell ref="K48:R48"/>
    <mergeCell ref="S48:V48"/>
    <mergeCell ref="W48:AA48"/>
    <mergeCell ref="AB46:AF46"/>
    <mergeCell ref="A47:B47"/>
    <mergeCell ref="C47:J47"/>
    <mergeCell ref="K47:R47"/>
    <mergeCell ref="S47:V47"/>
    <mergeCell ref="W47:AA47"/>
    <mergeCell ref="AB47:AF47"/>
    <mergeCell ref="A46:B46"/>
    <mergeCell ref="C46:J46"/>
    <mergeCell ref="K46:R46"/>
    <mergeCell ref="S46:V46"/>
    <mergeCell ref="W46:AA46"/>
    <mergeCell ref="AB44:AF44"/>
    <mergeCell ref="A45:B45"/>
    <mergeCell ref="C45:J45"/>
    <mergeCell ref="K45:R45"/>
    <mergeCell ref="S45:V45"/>
    <mergeCell ref="W45:AA45"/>
    <mergeCell ref="AB45:AF45"/>
    <mergeCell ref="A44:B44"/>
    <mergeCell ref="C44:J44"/>
    <mergeCell ref="K44:R44"/>
    <mergeCell ref="S44:V44"/>
    <mergeCell ref="W44:AA44"/>
    <mergeCell ref="A35:P37"/>
    <mergeCell ref="A39:P40"/>
    <mergeCell ref="A42:AF42"/>
    <mergeCell ref="A43:B43"/>
    <mergeCell ref="C43:J43"/>
    <mergeCell ref="K43:R43"/>
    <mergeCell ref="S43:V43"/>
    <mergeCell ref="W43:AA43"/>
    <mergeCell ref="AB43:AF43"/>
    <mergeCell ref="A32:B32"/>
    <mergeCell ref="C32:J32"/>
    <mergeCell ref="K32:M32"/>
    <mergeCell ref="N32:P32"/>
    <mergeCell ref="A33:J33"/>
    <mergeCell ref="K33:M33"/>
    <mergeCell ref="N33:P33"/>
    <mergeCell ref="A30:B30"/>
    <mergeCell ref="C30:J30"/>
    <mergeCell ref="K30:M30"/>
    <mergeCell ref="N30:P30"/>
    <mergeCell ref="A31:B31"/>
    <mergeCell ref="C31:J31"/>
    <mergeCell ref="K31:M31"/>
    <mergeCell ref="N31:P31"/>
    <mergeCell ref="A28:B28"/>
    <mergeCell ref="C28:J28"/>
    <mergeCell ref="K28:M28"/>
    <mergeCell ref="N28:P28"/>
    <mergeCell ref="A29:B29"/>
    <mergeCell ref="C29:J29"/>
    <mergeCell ref="K29:M29"/>
    <mergeCell ref="N29:P29"/>
    <mergeCell ref="AE24:AF24"/>
    <mergeCell ref="A26:P26"/>
    <mergeCell ref="Q26:AF26"/>
    <mergeCell ref="A27:B27"/>
    <mergeCell ref="C27:J27"/>
    <mergeCell ref="K27:M27"/>
    <mergeCell ref="N27:P27"/>
    <mergeCell ref="P24:R24"/>
    <mergeCell ref="V24:X24"/>
    <mergeCell ref="Y24:AA24"/>
    <mergeCell ref="AB24:AD24"/>
    <mergeCell ref="S24:U24"/>
    <mergeCell ref="A24:C24"/>
    <mergeCell ref="D24:F24"/>
    <mergeCell ref="G24:I24"/>
    <mergeCell ref="J24:L24"/>
    <mergeCell ref="M24:O24"/>
    <mergeCell ref="AE22:AF22"/>
    <mergeCell ref="A23:C23"/>
    <mergeCell ref="D23:F23"/>
    <mergeCell ref="G23:I23"/>
    <mergeCell ref="J23:L23"/>
    <mergeCell ref="M23:O23"/>
    <mergeCell ref="P23:R23"/>
    <mergeCell ref="V23:X23"/>
    <mergeCell ref="Y23:AA23"/>
    <mergeCell ref="AB23:AD23"/>
    <mergeCell ref="S23:U23"/>
    <mergeCell ref="AE23:AF23"/>
    <mergeCell ref="P22:R22"/>
    <mergeCell ref="V22:X22"/>
    <mergeCell ref="Y22:AA22"/>
    <mergeCell ref="AB22:AD22"/>
    <mergeCell ref="S22:U22"/>
    <mergeCell ref="A22:C22"/>
    <mergeCell ref="D22:F22"/>
    <mergeCell ref="G22:I22"/>
    <mergeCell ref="J22:L22"/>
    <mergeCell ref="M22:O22"/>
    <mergeCell ref="AE20:AF20"/>
    <mergeCell ref="A21:C21"/>
    <mergeCell ref="D21:F21"/>
    <mergeCell ref="G21:I21"/>
    <mergeCell ref="J21:L21"/>
    <mergeCell ref="M21:O21"/>
    <mergeCell ref="P21:R21"/>
    <mergeCell ref="V21:X21"/>
    <mergeCell ref="Y21:AA21"/>
    <mergeCell ref="AB21:AD21"/>
    <mergeCell ref="S21:U21"/>
    <mergeCell ref="AE21:AF21"/>
    <mergeCell ref="P20:R20"/>
    <mergeCell ref="V20:X20"/>
    <mergeCell ref="Y20:AA20"/>
    <mergeCell ref="AB20:AD20"/>
    <mergeCell ref="S20:U20"/>
    <mergeCell ref="A20:C20"/>
    <mergeCell ref="D20:F20"/>
    <mergeCell ref="G20:I20"/>
    <mergeCell ref="J20:L20"/>
    <mergeCell ref="M20:O20"/>
    <mergeCell ref="AE18:AF18"/>
    <mergeCell ref="A19:C19"/>
    <mergeCell ref="D19:F19"/>
    <mergeCell ref="G19:I19"/>
    <mergeCell ref="J19:L19"/>
    <mergeCell ref="M19:O19"/>
    <mergeCell ref="P19:R19"/>
    <mergeCell ref="V19:X19"/>
    <mergeCell ref="Y19:AA19"/>
    <mergeCell ref="AB19:AD19"/>
    <mergeCell ref="S19:U19"/>
    <mergeCell ref="AE19:AF19"/>
    <mergeCell ref="P18:R18"/>
    <mergeCell ref="V18:X18"/>
    <mergeCell ref="Y18:AA18"/>
    <mergeCell ref="AB18:AD18"/>
    <mergeCell ref="S18:U18"/>
    <mergeCell ref="A18:C18"/>
    <mergeCell ref="D18:F18"/>
    <mergeCell ref="G18:I18"/>
    <mergeCell ref="J18:L18"/>
    <mergeCell ref="M18:O18"/>
    <mergeCell ref="AE16:AF16"/>
    <mergeCell ref="A17:C17"/>
    <mergeCell ref="D17:F17"/>
    <mergeCell ref="G17:I17"/>
    <mergeCell ref="J17:L17"/>
    <mergeCell ref="M17:O17"/>
    <mergeCell ref="P17:R17"/>
    <mergeCell ref="V17:X17"/>
    <mergeCell ref="Y17:AA17"/>
    <mergeCell ref="AB17:AD17"/>
    <mergeCell ref="S17:U17"/>
    <mergeCell ref="AE17:AF17"/>
    <mergeCell ref="P16:R16"/>
    <mergeCell ref="V16:X16"/>
    <mergeCell ref="Y16:AA16"/>
    <mergeCell ref="AB16:AD16"/>
    <mergeCell ref="S16:U16"/>
    <mergeCell ref="A16:C16"/>
    <mergeCell ref="D16:F16"/>
    <mergeCell ref="G16:I16"/>
    <mergeCell ref="J16:L16"/>
    <mergeCell ref="M16:O16"/>
    <mergeCell ref="Y11:AF11"/>
    <mergeCell ref="A12:AF12"/>
    <mergeCell ref="A13:AF13"/>
    <mergeCell ref="A14:C15"/>
    <mergeCell ref="D14:F15"/>
    <mergeCell ref="G14:I15"/>
    <mergeCell ref="J14:L15"/>
    <mergeCell ref="M14:O15"/>
    <mergeCell ref="P14:R15"/>
    <mergeCell ref="S14:U15"/>
    <mergeCell ref="V14:X15"/>
    <mergeCell ref="Y14:AA15"/>
    <mergeCell ref="AB14:AD15"/>
    <mergeCell ref="AE14:AF15"/>
    <mergeCell ref="A11:H11"/>
    <mergeCell ref="I6:P6"/>
    <mergeCell ref="I7:P10"/>
    <mergeCell ref="I11:P11"/>
    <mergeCell ref="Q6:X6"/>
    <mergeCell ref="Q7:X10"/>
    <mergeCell ref="Q11:X11"/>
    <mergeCell ref="AD2:AF2"/>
    <mergeCell ref="U4:V4"/>
    <mergeCell ref="AA4:AF4"/>
    <mergeCell ref="A6:H6"/>
    <mergeCell ref="A7:H10"/>
    <mergeCell ref="Y6:AF6"/>
    <mergeCell ref="Y7:AF10"/>
    <mergeCell ref="S2:T2"/>
    <mergeCell ref="W2:X2"/>
    <mergeCell ref="AA2:AC2"/>
    <mergeCell ref="S4:T4"/>
    <mergeCell ref="W4:Z4"/>
    <mergeCell ref="U2:V2"/>
    <mergeCell ref="Y2:Z2"/>
  </mergeCells>
  <conditionalFormatting sqref="AE16:AE23">
    <cfRule type="cellIs" dxfId="2" priority="1" operator="lessThan">
      <formula>$AA$4</formula>
    </cfRule>
  </conditionalFormatting>
  <dataValidations count="3">
    <dataValidation type="list" sqref="Y2" xr:uid="{00000000-0002-0000-0000-000000000000}">
      <formula1>"Ca 1,Ca 2,Ca 3"</formula1>
    </dataValidation>
    <dataValidation type="list" sqref="AD2" xr:uid="{00000000-0002-0000-0000-000001000000}">
      <formula1>"MAY-01,MAY-02"</formula1>
    </dataValidation>
    <dataValidation type="list" sqref="AB44:AB48" xr:uid="{00000000-0002-0000-0000-000002000000}">
      <formula1>"Chưa thực hiện,Đang thực hiện,Hoàn thành,Trễ hạn"</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61"/>
  <sheetViews>
    <sheetView workbookViewId="0">
      <pane ySplit="5" topLeftCell="A18" activePane="bottomLeft" state="frozen"/>
      <selection pane="bottomLeft" sqref="A1:S2"/>
    </sheetView>
  </sheetViews>
  <sheetFormatPr defaultRowHeight="13.8"/>
  <cols>
    <col min="1" max="1" width="16" customWidth="1"/>
    <col min="2" max="2" width="10" customWidth="1"/>
    <col min="3" max="3" width="13" customWidth="1"/>
    <col min="4" max="4" width="21" customWidth="1"/>
    <col min="5" max="5" width="12" customWidth="1"/>
    <col min="6" max="6" width="18" customWidth="1"/>
    <col min="7" max="7" width="26" customWidth="1"/>
    <col min="8" max="8" width="24" customWidth="1"/>
    <col min="9" max="9" width="16" customWidth="1"/>
    <col min="10" max="10" width="23" customWidth="1"/>
    <col min="11" max="11" width="16" customWidth="1"/>
    <col min="12" max="12" width="23" customWidth="1"/>
    <col min="13" max="13" width="20" customWidth="1"/>
    <col min="14" max="16" width="17" customWidth="1"/>
    <col min="17" max="17" width="16" customWidth="1"/>
    <col min="18" max="18" width="21" customWidth="1"/>
    <col min="19" max="19" width="25" customWidth="1"/>
  </cols>
  <sheetData>
    <row r="1" spans="1:19" ht="24" customHeight="1">
      <c r="A1" s="24" t="s">
        <v>64</v>
      </c>
      <c r="B1" s="24"/>
      <c r="C1" s="24"/>
      <c r="D1" s="24"/>
      <c r="E1" s="24"/>
      <c r="F1" s="24"/>
      <c r="G1" s="24"/>
      <c r="H1" s="24"/>
      <c r="I1" s="24"/>
      <c r="J1" s="24"/>
      <c r="K1" s="24"/>
      <c r="L1" s="24"/>
      <c r="M1" s="24"/>
      <c r="N1" s="24"/>
      <c r="O1" s="24"/>
      <c r="P1" s="24"/>
      <c r="Q1" s="24"/>
      <c r="R1" s="24"/>
      <c r="S1" s="24"/>
    </row>
    <row r="2" spans="1:19" ht="24" customHeight="1">
      <c r="A2" s="24"/>
      <c r="B2" s="24"/>
      <c r="C2" s="24"/>
      <c r="D2" s="24"/>
      <c r="E2" s="24"/>
      <c r="F2" s="24"/>
      <c r="G2" s="24"/>
      <c r="H2" s="24"/>
      <c r="I2" s="24"/>
      <c r="J2" s="24"/>
      <c r="K2" s="24"/>
      <c r="L2" s="24"/>
      <c r="M2" s="24"/>
      <c r="N2" s="24"/>
      <c r="O2" s="24"/>
      <c r="P2" s="24"/>
      <c r="Q2" s="24"/>
      <c r="R2" s="24"/>
      <c r="S2" s="24"/>
    </row>
    <row r="3" spans="1:19" ht="24" customHeight="1">
      <c r="A3" s="25" t="s">
        <v>65</v>
      </c>
      <c r="B3" s="25"/>
      <c r="C3" s="25"/>
      <c r="D3" s="25"/>
      <c r="E3" s="25"/>
      <c r="F3" s="25"/>
      <c r="G3" s="25"/>
      <c r="H3" s="25"/>
      <c r="I3" s="25"/>
      <c r="J3" s="25"/>
      <c r="K3" s="25"/>
      <c r="L3" s="25"/>
      <c r="M3" s="25"/>
      <c r="N3" s="25"/>
      <c r="O3" s="25"/>
      <c r="P3" s="25"/>
      <c r="Q3" s="25"/>
      <c r="R3" s="25"/>
      <c r="S3" s="25"/>
    </row>
    <row r="5" spans="1:19" ht="37.950000000000003" customHeight="1">
      <c r="A5" s="2" t="s">
        <v>66</v>
      </c>
      <c r="B5" s="2" t="s">
        <v>67</v>
      </c>
      <c r="C5" s="2" t="s">
        <v>68</v>
      </c>
      <c r="D5" s="2" t="s">
        <v>69</v>
      </c>
      <c r="E5" s="2" t="s">
        <v>23</v>
      </c>
      <c r="F5" s="2" t="s">
        <v>70</v>
      </c>
      <c r="G5" s="2" t="s">
        <v>71</v>
      </c>
      <c r="H5" s="2" t="s">
        <v>72</v>
      </c>
      <c r="I5" s="2" t="s">
        <v>29</v>
      </c>
      <c r="J5" s="2" t="s">
        <v>73</v>
      </c>
      <c r="K5" s="2" t="s">
        <v>30</v>
      </c>
      <c r="L5" s="2" t="s">
        <v>74</v>
      </c>
      <c r="M5" s="2" t="s">
        <v>75</v>
      </c>
      <c r="N5" s="2" t="s">
        <v>76</v>
      </c>
      <c r="O5" s="2" t="s">
        <v>77</v>
      </c>
      <c r="P5" s="2" t="s">
        <v>78</v>
      </c>
      <c r="Q5" s="2" t="s">
        <v>32</v>
      </c>
      <c r="R5" s="2" t="s">
        <v>79</v>
      </c>
      <c r="S5" s="2" t="s">
        <v>80</v>
      </c>
    </row>
    <row r="6" spans="1:19" ht="19.95" customHeight="1">
      <c r="A6" s="5">
        <v>46296</v>
      </c>
      <c r="B6" s="3" t="s">
        <v>5</v>
      </c>
      <c r="C6" s="3" t="s">
        <v>7</v>
      </c>
      <c r="D6" s="3" t="s">
        <v>33</v>
      </c>
      <c r="E6" s="3">
        <v>60</v>
      </c>
      <c r="F6" s="3">
        <v>0</v>
      </c>
      <c r="G6" s="4">
        <f t="shared" ref="G6:G37" si="0">MAX(0,E6-F6)</f>
        <v>60</v>
      </c>
      <c r="H6" s="8">
        <v>2.2999999999999998</v>
      </c>
      <c r="I6" s="6">
        <v>1197</v>
      </c>
      <c r="J6" s="4">
        <f>SUMIFS('Quality Data'!$F$6:$F$1000,'Quality Data'!$A$6:$A$1000,A6,'Quality Data'!$B$6:$B$1000,B6,'Quality Data'!$C$6:$C$1000,C6,'Quality Data'!$D$6:$D$1000,D6)</f>
        <v>2</v>
      </c>
      <c r="K6" s="4">
        <f t="shared" ref="K6:K37" si="1">MAX(0,I6-J6)</f>
        <v>1195</v>
      </c>
      <c r="L6" s="4">
        <f>SUMIFS('Downtime Log'!$G$6:$G$1000,'Downtime Log'!$A$6:$A$1000,A6,'Downtime Log'!$B$6:$B$1000,B6,'Downtime Log'!$C$6:$C$1000,C6,'Downtime Log'!$D$6:$D$1000,D6)</f>
        <v>4</v>
      </c>
      <c r="M6" s="4">
        <f t="shared" ref="M6:M37" si="2">MAX(0,G6-L6)</f>
        <v>56</v>
      </c>
      <c r="N6" s="7">
        <f t="shared" ref="N6:N37" si="3">IFERROR(M6/G6,0)</f>
        <v>0.93333333333333335</v>
      </c>
      <c r="O6" s="7">
        <f t="shared" ref="O6:O37" si="4">IFERROR(H6*I6/(M6*60),0)</f>
        <v>0.81937499999999996</v>
      </c>
      <c r="P6" s="7">
        <f t="shared" ref="P6:P37" si="5">IFERROR(K6/I6,0)</f>
        <v>0.99832915622389307</v>
      </c>
      <c r="Q6" s="7">
        <f t="shared" ref="Q6:Q37" si="6">N6*O6*P6</f>
        <v>0.76347222222222211</v>
      </c>
      <c r="R6" s="4">
        <f t="shared" ref="R6:R37" si="7">H6*I6</f>
        <v>2753.1</v>
      </c>
      <c r="S6" s="3" t="s">
        <v>81</v>
      </c>
    </row>
    <row r="7" spans="1:19" ht="19.95" customHeight="1">
      <c r="A7" s="5">
        <v>46296</v>
      </c>
      <c r="B7" s="3" t="s">
        <v>5</v>
      </c>
      <c r="C7" s="3" t="s">
        <v>7</v>
      </c>
      <c r="D7" s="3" t="s">
        <v>34</v>
      </c>
      <c r="E7" s="3">
        <v>60</v>
      </c>
      <c r="F7" s="3">
        <v>0</v>
      </c>
      <c r="G7" s="4">
        <f t="shared" si="0"/>
        <v>60</v>
      </c>
      <c r="H7" s="8">
        <v>2.2999999999999998</v>
      </c>
      <c r="I7" s="6">
        <v>1118</v>
      </c>
      <c r="J7" s="4">
        <f>SUMIFS('Quality Data'!$F$6:$F$1000,'Quality Data'!$A$6:$A$1000,A7,'Quality Data'!$B$6:$B$1000,B7,'Quality Data'!$C$6:$C$1000,C7,'Quality Data'!$D$6:$D$1000,D7)</f>
        <v>4</v>
      </c>
      <c r="K7" s="4">
        <f t="shared" si="1"/>
        <v>1114</v>
      </c>
      <c r="L7" s="4">
        <f>SUMIFS('Downtime Log'!$G$6:$G$1000,'Downtime Log'!$A$6:$A$1000,A7,'Downtime Log'!$B$6:$B$1000,B7,'Downtime Log'!$C$6:$C$1000,C7,'Downtime Log'!$D$6:$D$1000,D7)</f>
        <v>9</v>
      </c>
      <c r="M7" s="4">
        <f t="shared" si="2"/>
        <v>51</v>
      </c>
      <c r="N7" s="7">
        <f t="shared" si="3"/>
        <v>0.85</v>
      </c>
      <c r="O7" s="7">
        <f t="shared" si="4"/>
        <v>0.84032679738562077</v>
      </c>
      <c r="P7" s="7">
        <f t="shared" si="5"/>
        <v>0.99642218246869407</v>
      </c>
      <c r="Q7" s="7">
        <f t="shared" si="6"/>
        <v>0.71172222222222215</v>
      </c>
      <c r="R7" s="4">
        <f t="shared" si="7"/>
        <v>2571.3999999999996</v>
      </c>
      <c r="S7" s="3" t="s">
        <v>81</v>
      </c>
    </row>
    <row r="8" spans="1:19" ht="19.95" customHeight="1">
      <c r="A8" s="5">
        <v>46296</v>
      </c>
      <c r="B8" s="3" t="s">
        <v>5</v>
      </c>
      <c r="C8" s="3" t="s">
        <v>7</v>
      </c>
      <c r="D8" s="3" t="s">
        <v>35</v>
      </c>
      <c r="E8" s="3">
        <v>60</v>
      </c>
      <c r="F8" s="3">
        <v>0</v>
      </c>
      <c r="G8" s="4">
        <f t="shared" si="0"/>
        <v>60</v>
      </c>
      <c r="H8" s="8">
        <v>2.2999999999999998</v>
      </c>
      <c r="I8" s="6">
        <v>1236</v>
      </c>
      <c r="J8" s="4">
        <f>SUMIFS('Quality Data'!$F$6:$F$1000,'Quality Data'!$A$6:$A$1000,A8,'Quality Data'!$B$6:$B$1000,B8,'Quality Data'!$C$6:$C$1000,C8,'Quality Data'!$D$6:$D$1000,D8)</f>
        <v>6</v>
      </c>
      <c r="K8" s="4">
        <f t="shared" si="1"/>
        <v>1230</v>
      </c>
      <c r="L8" s="4">
        <f>SUMIFS('Downtime Log'!$G$6:$G$1000,'Downtime Log'!$A$6:$A$1000,A8,'Downtime Log'!$B$6:$B$1000,B8,'Downtime Log'!$C$6:$C$1000,C8,'Downtime Log'!$D$6:$D$1000,D8)</f>
        <v>5</v>
      </c>
      <c r="M8" s="4">
        <f t="shared" si="2"/>
        <v>55</v>
      </c>
      <c r="N8" s="7">
        <f t="shared" si="3"/>
        <v>0.91666666666666663</v>
      </c>
      <c r="O8" s="7">
        <f t="shared" si="4"/>
        <v>0.86145454545454536</v>
      </c>
      <c r="P8" s="7">
        <f t="shared" si="5"/>
        <v>0.99514563106796117</v>
      </c>
      <c r="Q8" s="7">
        <f t="shared" si="6"/>
        <v>0.78583333333333316</v>
      </c>
      <c r="R8" s="4">
        <f t="shared" si="7"/>
        <v>2842.7999999999997</v>
      </c>
      <c r="S8" s="3" t="s">
        <v>81</v>
      </c>
    </row>
    <row r="9" spans="1:19" ht="19.95" customHeight="1">
      <c r="A9" s="5">
        <v>46296</v>
      </c>
      <c r="B9" s="3" t="s">
        <v>5</v>
      </c>
      <c r="C9" s="3" t="s">
        <v>7</v>
      </c>
      <c r="D9" s="3" t="s">
        <v>36</v>
      </c>
      <c r="E9" s="3">
        <v>60</v>
      </c>
      <c r="F9" s="3">
        <v>0</v>
      </c>
      <c r="G9" s="4">
        <f t="shared" si="0"/>
        <v>60</v>
      </c>
      <c r="H9" s="8">
        <v>2.2999999999999998</v>
      </c>
      <c r="I9" s="6">
        <v>1174</v>
      </c>
      <c r="J9" s="4">
        <f>SUMIFS('Quality Data'!$F$6:$F$1000,'Quality Data'!$A$6:$A$1000,A9,'Quality Data'!$B$6:$B$1000,B9,'Quality Data'!$C$6:$C$1000,C9,'Quality Data'!$D$6:$D$1000,D9)</f>
        <v>8</v>
      </c>
      <c r="K9" s="4">
        <f t="shared" si="1"/>
        <v>1166</v>
      </c>
      <c r="L9" s="4">
        <f>SUMIFS('Downtime Log'!$G$6:$G$1000,'Downtime Log'!$A$6:$A$1000,A9,'Downtime Log'!$B$6:$B$1000,B9,'Downtime Log'!$C$6:$C$1000,C9,'Downtime Log'!$D$6:$D$1000,D9)</f>
        <v>9</v>
      </c>
      <c r="M9" s="4">
        <f t="shared" si="2"/>
        <v>51</v>
      </c>
      <c r="N9" s="7">
        <f t="shared" si="3"/>
        <v>0.85</v>
      </c>
      <c r="O9" s="7">
        <f t="shared" si="4"/>
        <v>0.88241830065359472</v>
      </c>
      <c r="P9" s="7">
        <f t="shared" si="5"/>
        <v>0.99318568994889267</v>
      </c>
      <c r="Q9" s="7">
        <f t="shared" si="6"/>
        <v>0.74494444444444441</v>
      </c>
      <c r="R9" s="4">
        <f t="shared" si="7"/>
        <v>2700.2</v>
      </c>
      <c r="S9" s="3" t="s">
        <v>81</v>
      </c>
    </row>
    <row r="10" spans="1:19" ht="19.95" customHeight="1">
      <c r="A10" s="5">
        <v>46296</v>
      </c>
      <c r="B10" s="3" t="s">
        <v>5</v>
      </c>
      <c r="C10" s="3" t="s">
        <v>7</v>
      </c>
      <c r="D10" s="3" t="s">
        <v>37</v>
      </c>
      <c r="E10" s="3">
        <v>60</v>
      </c>
      <c r="F10" s="3">
        <v>0</v>
      </c>
      <c r="G10" s="4">
        <f t="shared" si="0"/>
        <v>60</v>
      </c>
      <c r="H10" s="8">
        <v>2.2999999999999998</v>
      </c>
      <c r="I10" s="6">
        <v>1273</v>
      </c>
      <c r="J10" s="4">
        <f>SUMIFS('Quality Data'!$F$6:$F$1000,'Quality Data'!$A$6:$A$1000,A10,'Quality Data'!$B$6:$B$1000,B10,'Quality Data'!$C$6:$C$1000,C10,'Quality Data'!$D$6:$D$1000,D10)</f>
        <v>2</v>
      </c>
      <c r="K10" s="4">
        <f t="shared" si="1"/>
        <v>1271</v>
      </c>
      <c r="L10" s="4">
        <f>SUMIFS('Downtime Log'!$G$6:$G$1000,'Downtime Log'!$A$6:$A$1000,A10,'Downtime Log'!$B$6:$B$1000,B10,'Downtime Log'!$C$6:$C$1000,C10,'Downtime Log'!$D$6:$D$1000,D10)</f>
        <v>6</v>
      </c>
      <c r="M10" s="4">
        <f t="shared" si="2"/>
        <v>54</v>
      </c>
      <c r="N10" s="7">
        <f t="shared" si="3"/>
        <v>0.9</v>
      </c>
      <c r="O10" s="7">
        <f t="shared" si="4"/>
        <v>0.90367283950617272</v>
      </c>
      <c r="P10" s="7">
        <f t="shared" si="5"/>
        <v>0.99842890809112328</v>
      </c>
      <c r="Q10" s="7">
        <f t="shared" si="6"/>
        <v>0.81202777777777768</v>
      </c>
      <c r="R10" s="4">
        <f t="shared" si="7"/>
        <v>2927.8999999999996</v>
      </c>
      <c r="S10" s="3" t="s">
        <v>81</v>
      </c>
    </row>
    <row r="11" spans="1:19" ht="19.95" customHeight="1">
      <c r="A11" s="5">
        <v>46296</v>
      </c>
      <c r="B11" s="3" t="s">
        <v>5</v>
      </c>
      <c r="C11" s="3" t="s">
        <v>7</v>
      </c>
      <c r="D11" s="3" t="s">
        <v>38</v>
      </c>
      <c r="E11" s="3">
        <v>60</v>
      </c>
      <c r="F11" s="3">
        <v>0</v>
      </c>
      <c r="G11" s="4">
        <f t="shared" si="0"/>
        <v>60</v>
      </c>
      <c r="H11" s="8">
        <v>2.2999999999999998</v>
      </c>
      <c r="I11" s="6">
        <v>1375</v>
      </c>
      <c r="J11" s="4">
        <f>SUMIFS('Quality Data'!$F$6:$F$1000,'Quality Data'!$A$6:$A$1000,A11,'Quality Data'!$B$6:$B$1000,B11,'Quality Data'!$C$6:$C$1000,C11,'Quality Data'!$D$6:$D$1000,D11)</f>
        <v>4</v>
      </c>
      <c r="K11" s="4">
        <f t="shared" si="1"/>
        <v>1371</v>
      </c>
      <c r="L11" s="4">
        <f>SUMIFS('Downtime Log'!$G$6:$G$1000,'Downtime Log'!$A$6:$A$1000,A11,'Downtime Log'!$B$6:$B$1000,B11,'Downtime Log'!$C$6:$C$1000,C11,'Downtime Log'!$D$6:$D$1000,D11)</f>
        <v>3</v>
      </c>
      <c r="M11" s="4">
        <f t="shared" si="2"/>
        <v>57</v>
      </c>
      <c r="N11" s="7">
        <f t="shared" si="3"/>
        <v>0.95</v>
      </c>
      <c r="O11" s="7">
        <f t="shared" si="4"/>
        <v>0.92470760233918115</v>
      </c>
      <c r="P11" s="7">
        <f t="shared" si="5"/>
        <v>0.99709090909090914</v>
      </c>
      <c r="Q11" s="7">
        <f t="shared" si="6"/>
        <v>0.87591666666666657</v>
      </c>
      <c r="R11" s="4">
        <f t="shared" si="7"/>
        <v>3162.4999999999995</v>
      </c>
      <c r="S11" s="3" t="s">
        <v>81</v>
      </c>
    </row>
    <row r="12" spans="1:19" ht="19.95" customHeight="1">
      <c r="A12" s="5">
        <v>46296</v>
      </c>
      <c r="B12" s="3" t="s">
        <v>5</v>
      </c>
      <c r="C12" s="3" t="s">
        <v>7</v>
      </c>
      <c r="D12" s="3" t="s">
        <v>39</v>
      </c>
      <c r="E12" s="3">
        <v>60</v>
      </c>
      <c r="F12" s="3">
        <v>30</v>
      </c>
      <c r="G12" s="4">
        <f t="shared" si="0"/>
        <v>30</v>
      </c>
      <c r="H12" s="8">
        <v>2.2999999999999998</v>
      </c>
      <c r="I12" s="6">
        <v>666</v>
      </c>
      <c r="J12" s="4">
        <f>SUMIFS('Quality Data'!$F$6:$F$1000,'Quality Data'!$A$6:$A$1000,A12,'Quality Data'!$B$6:$B$1000,B12,'Quality Data'!$C$6:$C$1000,C12,'Quality Data'!$D$6:$D$1000,D12)</f>
        <v>6</v>
      </c>
      <c r="K12" s="4">
        <f t="shared" si="1"/>
        <v>660</v>
      </c>
      <c r="L12" s="4">
        <f>SUMIFS('Downtime Log'!$G$6:$G$1000,'Downtime Log'!$A$6:$A$1000,A12,'Downtime Log'!$B$6:$B$1000,B12,'Downtime Log'!$C$6:$C$1000,C12,'Downtime Log'!$D$6:$D$1000,D12)</f>
        <v>3</v>
      </c>
      <c r="M12" s="4">
        <f t="shared" si="2"/>
        <v>27</v>
      </c>
      <c r="N12" s="7">
        <f t="shared" si="3"/>
        <v>0.9</v>
      </c>
      <c r="O12" s="7">
        <f t="shared" si="4"/>
        <v>0.94555555555555548</v>
      </c>
      <c r="P12" s="7">
        <f t="shared" si="5"/>
        <v>0.99099099099099097</v>
      </c>
      <c r="Q12" s="7">
        <f t="shared" si="6"/>
        <v>0.84333333333333327</v>
      </c>
      <c r="R12" s="4">
        <f t="shared" si="7"/>
        <v>1531.8</v>
      </c>
      <c r="S12" s="3" t="s">
        <v>81</v>
      </c>
    </row>
    <row r="13" spans="1:19" ht="19.95" customHeight="1">
      <c r="A13" s="5">
        <v>46296</v>
      </c>
      <c r="B13" s="3" t="s">
        <v>5</v>
      </c>
      <c r="C13" s="3" t="s">
        <v>7</v>
      </c>
      <c r="D13" s="3" t="s">
        <v>40</v>
      </c>
      <c r="E13" s="3">
        <v>60</v>
      </c>
      <c r="F13" s="3">
        <v>0</v>
      </c>
      <c r="G13" s="4">
        <f t="shared" si="0"/>
        <v>60</v>
      </c>
      <c r="H13" s="8">
        <v>2.2999999999999998</v>
      </c>
      <c r="I13" s="6">
        <v>1112</v>
      </c>
      <c r="J13" s="4">
        <f>SUMIFS('Quality Data'!$F$6:$F$1000,'Quality Data'!$A$6:$A$1000,A13,'Quality Data'!$B$6:$B$1000,B13,'Quality Data'!$C$6:$C$1000,C13,'Quality Data'!$D$6:$D$1000,D13)</f>
        <v>8</v>
      </c>
      <c r="K13" s="4">
        <f t="shared" si="1"/>
        <v>1104</v>
      </c>
      <c r="L13" s="4">
        <f>SUMIFS('Downtime Log'!$G$6:$G$1000,'Downtime Log'!$A$6:$A$1000,A13,'Downtime Log'!$B$6:$B$1000,B13,'Downtime Log'!$C$6:$C$1000,C13,'Downtime Log'!$D$6:$D$1000,D13)</f>
        <v>8</v>
      </c>
      <c r="M13" s="4">
        <f t="shared" si="2"/>
        <v>52</v>
      </c>
      <c r="N13" s="7">
        <f t="shared" si="3"/>
        <v>0.8666666666666667</v>
      </c>
      <c r="O13" s="7">
        <f t="shared" si="4"/>
        <v>0.81974358974358974</v>
      </c>
      <c r="P13" s="7">
        <f t="shared" si="5"/>
        <v>0.9928057553956835</v>
      </c>
      <c r="Q13" s="7">
        <f t="shared" si="6"/>
        <v>0.70533333333333337</v>
      </c>
      <c r="R13" s="4">
        <f t="shared" si="7"/>
        <v>2557.6</v>
      </c>
      <c r="S13" s="3" t="s">
        <v>81</v>
      </c>
    </row>
    <row r="14" spans="1:19" ht="19.95" customHeight="1">
      <c r="A14" s="5">
        <v>46297</v>
      </c>
      <c r="B14" s="3" t="s">
        <v>5</v>
      </c>
      <c r="C14" s="3" t="s">
        <v>7</v>
      </c>
      <c r="D14" s="3" t="s">
        <v>33</v>
      </c>
      <c r="E14" s="3">
        <v>60</v>
      </c>
      <c r="F14" s="3">
        <v>0</v>
      </c>
      <c r="G14" s="4">
        <f t="shared" si="0"/>
        <v>60</v>
      </c>
      <c r="H14" s="8">
        <v>2.2999999999999998</v>
      </c>
      <c r="I14" s="6">
        <v>1266</v>
      </c>
      <c r="J14" s="4">
        <f>SUMIFS('Quality Data'!$F$6:$F$1000,'Quality Data'!$A$6:$A$1000,A14,'Quality Data'!$B$6:$B$1000,B14,'Quality Data'!$C$6:$C$1000,C14,'Quality Data'!$D$6:$D$1000,D14)</f>
        <v>5</v>
      </c>
      <c r="K14" s="4">
        <f t="shared" si="1"/>
        <v>1261</v>
      </c>
      <c r="L14" s="4">
        <f>SUMIFS('Downtime Log'!$G$6:$G$1000,'Downtime Log'!$A$6:$A$1000,A14,'Downtime Log'!$B$6:$B$1000,B14,'Downtime Log'!$C$6:$C$1000,C14,'Downtime Log'!$D$6:$D$1000,D14)</f>
        <v>5</v>
      </c>
      <c r="M14" s="4">
        <f t="shared" si="2"/>
        <v>55</v>
      </c>
      <c r="N14" s="7">
        <f t="shared" si="3"/>
        <v>0.91666666666666663</v>
      </c>
      <c r="O14" s="7">
        <f t="shared" si="4"/>
        <v>0.88236363636363624</v>
      </c>
      <c r="P14" s="7">
        <f t="shared" si="5"/>
        <v>0.99605055292259082</v>
      </c>
      <c r="Q14" s="7">
        <f t="shared" si="6"/>
        <v>0.80563888888888868</v>
      </c>
      <c r="R14" s="4">
        <f t="shared" si="7"/>
        <v>2911.7999999999997</v>
      </c>
      <c r="S14" s="3" t="s">
        <v>81</v>
      </c>
    </row>
    <row r="15" spans="1:19" ht="19.95" customHeight="1">
      <c r="A15" s="5">
        <v>46297</v>
      </c>
      <c r="B15" s="3" t="s">
        <v>5</v>
      </c>
      <c r="C15" s="3" t="s">
        <v>7</v>
      </c>
      <c r="D15" s="3" t="s">
        <v>34</v>
      </c>
      <c r="E15" s="3">
        <v>60</v>
      </c>
      <c r="F15" s="3">
        <v>0</v>
      </c>
      <c r="G15" s="4">
        <f t="shared" si="0"/>
        <v>60</v>
      </c>
      <c r="H15" s="8">
        <v>2.2999999999999998</v>
      </c>
      <c r="I15" s="6">
        <v>1179</v>
      </c>
      <c r="J15" s="4">
        <f>SUMIFS('Quality Data'!$F$6:$F$1000,'Quality Data'!$A$6:$A$1000,A15,'Quality Data'!$B$6:$B$1000,B15,'Quality Data'!$C$6:$C$1000,C15,'Quality Data'!$D$6:$D$1000,D15)</f>
        <v>7</v>
      </c>
      <c r="K15" s="4">
        <f t="shared" si="1"/>
        <v>1172</v>
      </c>
      <c r="L15" s="4">
        <f>SUMIFS('Downtime Log'!$G$6:$G$1000,'Downtime Log'!$A$6:$A$1000,A15,'Downtime Log'!$B$6:$B$1000,B15,'Downtime Log'!$C$6:$C$1000,C15,'Downtime Log'!$D$6:$D$1000,D15)</f>
        <v>10</v>
      </c>
      <c r="M15" s="4">
        <f t="shared" si="2"/>
        <v>50</v>
      </c>
      <c r="N15" s="7">
        <f t="shared" si="3"/>
        <v>0.83333333333333337</v>
      </c>
      <c r="O15" s="7">
        <f t="shared" si="4"/>
        <v>0.90389999999999993</v>
      </c>
      <c r="P15" s="7">
        <f t="shared" si="5"/>
        <v>0.99406276505513147</v>
      </c>
      <c r="Q15" s="7">
        <f t="shared" si="6"/>
        <v>0.74877777777777776</v>
      </c>
      <c r="R15" s="4">
        <f t="shared" si="7"/>
        <v>2711.7</v>
      </c>
      <c r="S15" s="3" t="s">
        <v>81</v>
      </c>
    </row>
    <row r="16" spans="1:19" ht="19.95" customHeight="1">
      <c r="A16" s="5">
        <v>46297</v>
      </c>
      <c r="B16" s="3" t="s">
        <v>5</v>
      </c>
      <c r="C16" s="3" t="s">
        <v>7</v>
      </c>
      <c r="D16" s="3" t="s">
        <v>35</v>
      </c>
      <c r="E16" s="3">
        <v>60</v>
      </c>
      <c r="F16" s="3">
        <v>0</v>
      </c>
      <c r="G16" s="4">
        <f t="shared" si="0"/>
        <v>60</v>
      </c>
      <c r="H16" s="8">
        <v>2.2999999999999998</v>
      </c>
      <c r="I16" s="6">
        <v>1375</v>
      </c>
      <c r="J16" s="4">
        <f>SUMIFS('Quality Data'!$F$6:$F$1000,'Quality Data'!$A$6:$A$1000,A16,'Quality Data'!$B$6:$B$1000,B16,'Quality Data'!$C$6:$C$1000,C16,'Quality Data'!$D$6:$D$1000,D16)</f>
        <v>9</v>
      </c>
      <c r="K16" s="4">
        <f t="shared" si="1"/>
        <v>1366</v>
      </c>
      <c r="L16" s="4">
        <f>SUMIFS('Downtime Log'!$G$6:$G$1000,'Downtime Log'!$A$6:$A$1000,A16,'Downtime Log'!$B$6:$B$1000,B16,'Downtime Log'!$C$6:$C$1000,C16,'Downtime Log'!$D$6:$D$1000,D16)</f>
        <v>3</v>
      </c>
      <c r="M16" s="4">
        <f t="shared" si="2"/>
        <v>57</v>
      </c>
      <c r="N16" s="7">
        <f t="shared" si="3"/>
        <v>0.95</v>
      </c>
      <c r="O16" s="7">
        <f t="shared" si="4"/>
        <v>0.92470760233918115</v>
      </c>
      <c r="P16" s="7">
        <f t="shared" si="5"/>
        <v>0.99345454545454548</v>
      </c>
      <c r="Q16" s="7">
        <f t="shared" si="6"/>
        <v>0.87272222222222207</v>
      </c>
      <c r="R16" s="4">
        <f t="shared" si="7"/>
        <v>3162.4999999999995</v>
      </c>
      <c r="S16" s="3" t="s">
        <v>81</v>
      </c>
    </row>
    <row r="17" spans="1:19" ht="19.95" customHeight="1">
      <c r="A17" s="5">
        <v>46297</v>
      </c>
      <c r="B17" s="3" t="s">
        <v>5</v>
      </c>
      <c r="C17" s="3" t="s">
        <v>7</v>
      </c>
      <c r="D17" s="3" t="s">
        <v>36</v>
      </c>
      <c r="E17" s="3">
        <v>60</v>
      </c>
      <c r="F17" s="3">
        <v>0</v>
      </c>
      <c r="G17" s="4">
        <f t="shared" si="0"/>
        <v>60</v>
      </c>
      <c r="H17" s="8">
        <v>2.2999999999999998</v>
      </c>
      <c r="I17" s="6">
        <v>1233</v>
      </c>
      <c r="J17" s="4">
        <f>SUMIFS('Quality Data'!$F$6:$F$1000,'Quality Data'!$A$6:$A$1000,A17,'Quality Data'!$B$6:$B$1000,B17,'Quality Data'!$C$6:$C$1000,C17,'Quality Data'!$D$6:$D$1000,D17)</f>
        <v>3</v>
      </c>
      <c r="K17" s="4">
        <f t="shared" si="1"/>
        <v>1230</v>
      </c>
      <c r="L17" s="4">
        <f>SUMIFS('Downtime Log'!$G$6:$G$1000,'Downtime Log'!$A$6:$A$1000,A17,'Downtime Log'!$B$6:$B$1000,B17,'Downtime Log'!$C$6:$C$1000,C17,'Downtime Log'!$D$6:$D$1000,D17)</f>
        <v>10</v>
      </c>
      <c r="M17" s="4">
        <f t="shared" si="2"/>
        <v>50</v>
      </c>
      <c r="N17" s="7">
        <f t="shared" si="3"/>
        <v>0.83333333333333337</v>
      </c>
      <c r="O17" s="7">
        <f t="shared" si="4"/>
        <v>0.94529999999999992</v>
      </c>
      <c r="P17" s="7">
        <f t="shared" si="5"/>
        <v>0.9975669099756691</v>
      </c>
      <c r="Q17" s="7">
        <f t="shared" si="6"/>
        <v>0.78583333333333327</v>
      </c>
      <c r="R17" s="4">
        <f t="shared" si="7"/>
        <v>2835.8999999999996</v>
      </c>
      <c r="S17" s="3" t="s">
        <v>81</v>
      </c>
    </row>
    <row r="18" spans="1:19" ht="19.95" customHeight="1">
      <c r="A18" s="5">
        <v>46297</v>
      </c>
      <c r="B18" s="3" t="s">
        <v>5</v>
      </c>
      <c r="C18" s="3" t="s">
        <v>7</v>
      </c>
      <c r="D18" s="3" t="s">
        <v>37</v>
      </c>
      <c r="E18" s="3">
        <v>60</v>
      </c>
      <c r="F18" s="3">
        <v>0</v>
      </c>
      <c r="G18" s="4">
        <f t="shared" si="0"/>
        <v>60</v>
      </c>
      <c r="H18" s="8">
        <v>2.2999999999999998</v>
      </c>
      <c r="I18" s="6">
        <v>1133</v>
      </c>
      <c r="J18" s="4">
        <f>SUMIFS('Quality Data'!$F$6:$F$1000,'Quality Data'!$A$6:$A$1000,A18,'Quality Data'!$B$6:$B$1000,B18,'Quality Data'!$C$6:$C$1000,C18,'Quality Data'!$D$6:$D$1000,D18)</f>
        <v>5</v>
      </c>
      <c r="K18" s="4">
        <f t="shared" si="1"/>
        <v>1128</v>
      </c>
      <c r="L18" s="4">
        <f>SUMIFS('Downtime Log'!$G$6:$G$1000,'Downtime Log'!$A$6:$A$1000,A18,'Downtime Log'!$B$6:$B$1000,B18,'Downtime Log'!$C$6:$C$1000,C18,'Downtime Log'!$D$6:$D$1000,D18)</f>
        <v>7</v>
      </c>
      <c r="M18" s="4">
        <f t="shared" si="2"/>
        <v>53</v>
      </c>
      <c r="N18" s="7">
        <f t="shared" si="3"/>
        <v>0.8833333333333333</v>
      </c>
      <c r="O18" s="7">
        <f t="shared" si="4"/>
        <v>0.81946540880503138</v>
      </c>
      <c r="P18" s="7">
        <f t="shared" si="5"/>
        <v>0.9955869373345102</v>
      </c>
      <c r="Q18" s="7">
        <f t="shared" si="6"/>
        <v>0.72066666666666668</v>
      </c>
      <c r="R18" s="4">
        <f t="shared" si="7"/>
        <v>2605.8999999999996</v>
      </c>
      <c r="S18" s="3" t="s">
        <v>81</v>
      </c>
    </row>
    <row r="19" spans="1:19" ht="19.95" customHeight="1">
      <c r="A19" s="5">
        <v>46297</v>
      </c>
      <c r="B19" s="3" t="s">
        <v>5</v>
      </c>
      <c r="C19" s="3" t="s">
        <v>7</v>
      </c>
      <c r="D19" s="3" t="s">
        <v>38</v>
      </c>
      <c r="E19" s="3">
        <v>60</v>
      </c>
      <c r="F19" s="3">
        <v>0</v>
      </c>
      <c r="G19" s="4">
        <f t="shared" si="0"/>
        <v>60</v>
      </c>
      <c r="H19" s="8">
        <v>2.2999999999999998</v>
      </c>
      <c r="I19" s="6">
        <v>1294</v>
      </c>
      <c r="J19" s="4">
        <f>SUMIFS('Quality Data'!$F$6:$F$1000,'Quality Data'!$A$6:$A$1000,A19,'Quality Data'!$B$6:$B$1000,B19,'Quality Data'!$C$6:$C$1000,C19,'Quality Data'!$D$6:$D$1000,D19)</f>
        <v>7</v>
      </c>
      <c r="K19" s="4">
        <f t="shared" si="1"/>
        <v>1287</v>
      </c>
      <c r="L19" s="4">
        <f>SUMIFS('Downtime Log'!$G$6:$G$1000,'Downtime Log'!$A$6:$A$1000,A19,'Downtime Log'!$B$6:$B$1000,B19,'Downtime Log'!$C$6:$C$1000,C19,'Downtime Log'!$D$6:$D$1000,D19)</f>
        <v>1</v>
      </c>
      <c r="M19" s="4">
        <f t="shared" si="2"/>
        <v>59</v>
      </c>
      <c r="N19" s="7">
        <f t="shared" si="3"/>
        <v>0.98333333333333328</v>
      </c>
      <c r="O19" s="7">
        <f t="shared" si="4"/>
        <v>0.8407344632768361</v>
      </c>
      <c r="P19" s="7">
        <f t="shared" si="5"/>
        <v>0.99459041731066455</v>
      </c>
      <c r="Q19" s="7">
        <f t="shared" si="6"/>
        <v>0.82224999999999993</v>
      </c>
      <c r="R19" s="4">
        <f t="shared" si="7"/>
        <v>2976.2</v>
      </c>
      <c r="S19" s="3" t="s">
        <v>81</v>
      </c>
    </row>
    <row r="20" spans="1:19" ht="19.95" customHeight="1">
      <c r="A20" s="5">
        <v>46297</v>
      </c>
      <c r="B20" s="3" t="s">
        <v>5</v>
      </c>
      <c r="C20" s="3" t="s">
        <v>7</v>
      </c>
      <c r="D20" s="3" t="s">
        <v>39</v>
      </c>
      <c r="E20" s="3">
        <v>60</v>
      </c>
      <c r="F20" s="3">
        <v>30</v>
      </c>
      <c r="G20" s="4">
        <f t="shared" si="0"/>
        <v>30</v>
      </c>
      <c r="H20" s="8">
        <v>2.2999999999999998</v>
      </c>
      <c r="I20" s="6">
        <v>584</v>
      </c>
      <c r="J20" s="4">
        <f>SUMIFS('Quality Data'!$F$6:$F$1000,'Quality Data'!$A$6:$A$1000,A20,'Quality Data'!$B$6:$B$1000,B20,'Quality Data'!$C$6:$C$1000,C20,'Quality Data'!$D$6:$D$1000,D20)</f>
        <v>9</v>
      </c>
      <c r="K20" s="4">
        <f t="shared" si="1"/>
        <v>575</v>
      </c>
      <c r="L20" s="4">
        <f>SUMIFS('Downtime Log'!$G$6:$G$1000,'Downtime Log'!$A$6:$A$1000,A20,'Downtime Log'!$B$6:$B$1000,B20,'Downtime Log'!$C$6:$C$1000,C20,'Downtime Log'!$D$6:$D$1000,D20)</f>
        <v>4</v>
      </c>
      <c r="M20" s="4">
        <f t="shared" si="2"/>
        <v>26</v>
      </c>
      <c r="N20" s="7">
        <f t="shared" si="3"/>
        <v>0.8666666666666667</v>
      </c>
      <c r="O20" s="7">
        <f t="shared" si="4"/>
        <v>0.86102564102564094</v>
      </c>
      <c r="P20" s="7">
        <f t="shared" si="5"/>
        <v>0.9845890410958904</v>
      </c>
      <c r="Q20" s="7">
        <f t="shared" si="6"/>
        <v>0.73472222222222217</v>
      </c>
      <c r="R20" s="4">
        <f t="shared" si="7"/>
        <v>1343.1999999999998</v>
      </c>
      <c r="S20" s="3" t="s">
        <v>81</v>
      </c>
    </row>
    <row r="21" spans="1:19" ht="19.95" customHeight="1">
      <c r="A21" s="5">
        <v>46297</v>
      </c>
      <c r="B21" s="3" t="s">
        <v>5</v>
      </c>
      <c r="C21" s="3" t="s">
        <v>7</v>
      </c>
      <c r="D21" s="3" t="s">
        <v>40</v>
      </c>
      <c r="E21" s="3">
        <v>60</v>
      </c>
      <c r="F21" s="3">
        <v>0</v>
      </c>
      <c r="G21" s="4">
        <f t="shared" si="0"/>
        <v>60</v>
      </c>
      <c r="H21" s="8">
        <v>2.2999999999999998</v>
      </c>
      <c r="I21" s="6">
        <v>1174</v>
      </c>
      <c r="J21" s="4">
        <f>SUMIFS('Quality Data'!$F$6:$F$1000,'Quality Data'!$A$6:$A$1000,A21,'Quality Data'!$B$6:$B$1000,B21,'Quality Data'!$C$6:$C$1000,C21,'Quality Data'!$D$6:$D$1000,D21)</f>
        <v>3</v>
      </c>
      <c r="K21" s="4">
        <f t="shared" si="1"/>
        <v>1171</v>
      </c>
      <c r="L21" s="4">
        <f>SUMIFS('Downtime Log'!$G$6:$G$1000,'Downtime Log'!$A$6:$A$1000,A21,'Downtime Log'!$B$6:$B$1000,B21,'Downtime Log'!$C$6:$C$1000,C21,'Downtime Log'!$D$6:$D$1000,D21)</f>
        <v>9</v>
      </c>
      <c r="M21" s="4">
        <f t="shared" si="2"/>
        <v>51</v>
      </c>
      <c r="N21" s="7">
        <f t="shared" si="3"/>
        <v>0.85</v>
      </c>
      <c r="O21" s="7">
        <f t="shared" si="4"/>
        <v>0.88241830065359472</v>
      </c>
      <c r="P21" s="7">
        <f t="shared" si="5"/>
        <v>0.99744463373083481</v>
      </c>
      <c r="Q21" s="7">
        <f t="shared" si="6"/>
        <v>0.7481388888888888</v>
      </c>
      <c r="R21" s="4">
        <f t="shared" si="7"/>
        <v>2700.2</v>
      </c>
      <c r="S21" s="3" t="s">
        <v>81</v>
      </c>
    </row>
    <row r="22" spans="1:19" ht="19.95" customHeight="1">
      <c r="A22" s="5">
        <v>46298</v>
      </c>
      <c r="B22" s="3" t="s">
        <v>5</v>
      </c>
      <c r="C22" s="3" t="s">
        <v>7</v>
      </c>
      <c r="D22" s="3" t="s">
        <v>33</v>
      </c>
      <c r="E22" s="3">
        <v>60</v>
      </c>
      <c r="F22" s="3">
        <v>0</v>
      </c>
      <c r="G22" s="4">
        <f t="shared" si="0"/>
        <v>60</v>
      </c>
      <c r="H22" s="8">
        <v>2.2999999999999998</v>
      </c>
      <c r="I22" s="6">
        <v>1332</v>
      </c>
      <c r="J22" s="4">
        <f>SUMIFS('Quality Data'!$F$6:$F$1000,'Quality Data'!$A$6:$A$1000,A22,'Quality Data'!$B$6:$B$1000,B22,'Quality Data'!$C$6:$C$1000,C22,'Quality Data'!$D$6:$D$1000,D22)</f>
        <v>8</v>
      </c>
      <c r="K22" s="4">
        <f t="shared" si="1"/>
        <v>1324</v>
      </c>
      <c r="L22" s="4">
        <f>SUMIFS('Downtime Log'!$G$6:$G$1000,'Downtime Log'!$A$6:$A$1000,A22,'Downtime Log'!$B$6:$B$1000,B22,'Downtime Log'!$C$6:$C$1000,C22,'Downtime Log'!$D$6:$D$1000,D22)</f>
        <v>6</v>
      </c>
      <c r="M22" s="4">
        <f t="shared" si="2"/>
        <v>54</v>
      </c>
      <c r="N22" s="7">
        <f t="shared" si="3"/>
        <v>0.9</v>
      </c>
      <c r="O22" s="7">
        <f t="shared" si="4"/>
        <v>0.94555555555555548</v>
      </c>
      <c r="P22" s="7">
        <f t="shared" si="5"/>
        <v>0.99399399399399402</v>
      </c>
      <c r="Q22" s="7">
        <f t="shared" si="6"/>
        <v>0.84588888888888891</v>
      </c>
      <c r="R22" s="4">
        <f t="shared" si="7"/>
        <v>3063.6</v>
      </c>
      <c r="S22" s="3" t="s">
        <v>81</v>
      </c>
    </row>
    <row r="23" spans="1:19" ht="19.95" customHeight="1">
      <c r="A23" s="5">
        <v>46298</v>
      </c>
      <c r="B23" s="3" t="s">
        <v>5</v>
      </c>
      <c r="C23" s="3" t="s">
        <v>7</v>
      </c>
      <c r="D23" s="3" t="s">
        <v>34</v>
      </c>
      <c r="E23" s="3">
        <v>60</v>
      </c>
      <c r="F23" s="3">
        <v>0</v>
      </c>
      <c r="G23" s="4">
        <f t="shared" si="0"/>
        <v>60</v>
      </c>
      <c r="H23" s="8">
        <v>2.2999999999999998</v>
      </c>
      <c r="I23" s="6">
        <v>1112</v>
      </c>
      <c r="J23" s="4">
        <f>SUMIFS('Quality Data'!$F$6:$F$1000,'Quality Data'!$A$6:$A$1000,A23,'Quality Data'!$B$6:$B$1000,B23,'Quality Data'!$C$6:$C$1000,C23,'Quality Data'!$D$6:$D$1000,D23)</f>
        <v>2</v>
      </c>
      <c r="K23" s="4">
        <f t="shared" si="1"/>
        <v>1110</v>
      </c>
      <c r="L23" s="4">
        <f>SUMIFS('Downtime Log'!$G$6:$G$1000,'Downtime Log'!$A$6:$A$1000,A23,'Downtime Log'!$B$6:$B$1000,B23,'Downtime Log'!$C$6:$C$1000,C23,'Downtime Log'!$D$6:$D$1000,D23)</f>
        <v>8</v>
      </c>
      <c r="M23" s="4">
        <f t="shared" si="2"/>
        <v>52</v>
      </c>
      <c r="N23" s="7">
        <f t="shared" si="3"/>
        <v>0.8666666666666667</v>
      </c>
      <c r="O23" s="7">
        <f t="shared" si="4"/>
        <v>0.81974358974358974</v>
      </c>
      <c r="P23" s="7">
        <f t="shared" si="5"/>
        <v>0.99820143884892087</v>
      </c>
      <c r="Q23" s="7">
        <f t="shared" si="6"/>
        <v>0.70916666666666661</v>
      </c>
      <c r="R23" s="4">
        <f t="shared" si="7"/>
        <v>2557.6</v>
      </c>
      <c r="S23" s="3" t="s">
        <v>81</v>
      </c>
    </row>
    <row r="24" spans="1:19" ht="19.95" customHeight="1">
      <c r="A24" s="5">
        <v>46298</v>
      </c>
      <c r="B24" s="3" t="s">
        <v>5</v>
      </c>
      <c r="C24" s="3" t="s">
        <v>7</v>
      </c>
      <c r="D24" s="3" t="s">
        <v>35</v>
      </c>
      <c r="E24" s="3">
        <v>60</v>
      </c>
      <c r="F24" s="3">
        <v>0</v>
      </c>
      <c r="G24" s="4">
        <f t="shared" si="0"/>
        <v>60</v>
      </c>
      <c r="H24" s="8">
        <v>2.2999999999999998</v>
      </c>
      <c r="I24" s="6">
        <v>1228</v>
      </c>
      <c r="J24" s="4">
        <f>SUMIFS('Quality Data'!$F$6:$F$1000,'Quality Data'!$A$6:$A$1000,A24,'Quality Data'!$B$6:$B$1000,B24,'Quality Data'!$C$6:$C$1000,C24,'Quality Data'!$D$6:$D$1000,D24)</f>
        <v>4</v>
      </c>
      <c r="K24" s="4">
        <f t="shared" si="1"/>
        <v>1224</v>
      </c>
      <c r="L24" s="4">
        <f>SUMIFS('Downtime Log'!$G$6:$G$1000,'Downtime Log'!$A$6:$A$1000,A24,'Downtime Log'!$B$6:$B$1000,B24,'Downtime Log'!$C$6:$C$1000,C24,'Downtime Log'!$D$6:$D$1000,D24)</f>
        <v>4</v>
      </c>
      <c r="M24" s="4">
        <f t="shared" si="2"/>
        <v>56</v>
      </c>
      <c r="N24" s="7">
        <f t="shared" si="3"/>
        <v>0.93333333333333335</v>
      </c>
      <c r="O24" s="7">
        <f t="shared" si="4"/>
        <v>0.84059523809523795</v>
      </c>
      <c r="P24" s="7">
        <f t="shared" si="5"/>
        <v>0.99674267100977199</v>
      </c>
      <c r="Q24" s="7">
        <f t="shared" si="6"/>
        <v>0.78199999999999992</v>
      </c>
      <c r="R24" s="4">
        <f t="shared" si="7"/>
        <v>2824.3999999999996</v>
      </c>
      <c r="S24" s="3" t="s">
        <v>81</v>
      </c>
    </row>
    <row r="25" spans="1:19" ht="19.95" customHeight="1">
      <c r="A25" s="5">
        <v>46298</v>
      </c>
      <c r="B25" s="3" t="s">
        <v>5</v>
      </c>
      <c r="C25" s="3" t="s">
        <v>7</v>
      </c>
      <c r="D25" s="3" t="s">
        <v>36</v>
      </c>
      <c r="E25" s="3">
        <v>60</v>
      </c>
      <c r="F25" s="3">
        <v>0</v>
      </c>
      <c r="G25" s="4">
        <f t="shared" si="0"/>
        <v>60</v>
      </c>
      <c r="H25" s="8">
        <v>2.2999999999999998</v>
      </c>
      <c r="I25" s="6">
        <v>1101</v>
      </c>
      <c r="J25" s="4">
        <f>SUMIFS('Quality Data'!$F$6:$F$1000,'Quality Data'!$A$6:$A$1000,A25,'Quality Data'!$B$6:$B$1000,B25,'Quality Data'!$C$6:$C$1000,C25,'Quality Data'!$D$6:$D$1000,D25)</f>
        <v>6</v>
      </c>
      <c r="K25" s="4">
        <f t="shared" si="1"/>
        <v>1095</v>
      </c>
      <c r="L25" s="4">
        <f>SUMIFS('Downtime Log'!$G$6:$G$1000,'Downtime Log'!$A$6:$A$1000,A25,'Downtime Log'!$B$6:$B$1000,B25,'Downtime Log'!$C$6:$C$1000,C25,'Downtime Log'!$D$6:$D$1000,D25)</f>
        <v>11</v>
      </c>
      <c r="M25" s="4">
        <f t="shared" si="2"/>
        <v>49</v>
      </c>
      <c r="N25" s="7">
        <f t="shared" si="3"/>
        <v>0.81666666666666665</v>
      </c>
      <c r="O25" s="7">
        <f t="shared" si="4"/>
        <v>0.86132653061224485</v>
      </c>
      <c r="P25" s="7">
        <f t="shared" si="5"/>
        <v>0.99455040871934608</v>
      </c>
      <c r="Q25" s="7">
        <f t="shared" si="6"/>
        <v>0.69958333333333322</v>
      </c>
      <c r="R25" s="4">
        <f t="shared" si="7"/>
        <v>2532.2999999999997</v>
      </c>
      <c r="S25" s="3" t="s">
        <v>81</v>
      </c>
    </row>
    <row r="26" spans="1:19" ht="19.95" customHeight="1">
      <c r="A26" s="5">
        <v>46298</v>
      </c>
      <c r="B26" s="3" t="s">
        <v>5</v>
      </c>
      <c r="C26" s="3" t="s">
        <v>7</v>
      </c>
      <c r="D26" s="3" t="s">
        <v>37</v>
      </c>
      <c r="E26" s="3">
        <v>60</v>
      </c>
      <c r="F26" s="3">
        <v>0</v>
      </c>
      <c r="G26" s="4">
        <f t="shared" si="0"/>
        <v>60</v>
      </c>
      <c r="H26" s="8">
        <v>2.2999999999999998</v>
      </c>
      <c r="I26" s="6">
        <v>1266</v>
      </c>
      <c r="J26" s="4">
        <f>SUMIFS('Quality Data'!$F$6:$F$1000,'Quality Data'!$A$6:$A$1000,A26,'Quality Data'!$B$6:$B$1000,B26,'Quality Data'!$C$6:$C$1000,C26,'Quality Data'!$D$6:$D$1000,D26)</f>
        <v>8</v>
      </c>
      <c r="K26" s="4">
        <f t="shared" si="1"/>
        <v>1258</v>
      </c>
      <c r="L26" s="4">
        <f>SUMIFS('Downtime Log'!$G$6:$G$1000,'Downtime Log'!$A$6:$A$1000,A26,'Downtime Log'!$B$6:$B$1000,B26,'Downtime Log'!$C$6:$C$1000,C26,'Downtime Log'!$D$6:$D$1000,D26)</f>
        <v>5</v>
      </c>
      <c r="M26" s="4">
        <f t="shared" si="2"/>
        <v>55</v>
      </c>
      <c r="N26" s="7">
        <f t="shared" si="3"/>
        <v>0.91666666666666663</v>
      </c>
      <c r="O26" s="7">
        <f t="shared" si="4"/>
        <v>0.88236363636363624</v>
      </c>
      <c r="P26" s="7">
        <f t="shared" si="5"/>
        <v>0.99368088467614535</v>
      </c>
      <c r="Q26" s="7">
        <f t="shared" si="6"/>
        <v>0.80372222222222212</v>
      </c>
      <c r="R26" s="4">
        <f t="shared" si="7"/>
        <v>2911.7999999999997</v>
      </c>
      <c r="S26" s="3" t="s">
        <v>81</v>
      </c>
    </row>
    <row r="27" spans="1:19" ht="19.95" customHeight="1">
      <c r="A27" s="5">
        <v>46298</v>
      </c>
      <c r="B27" s="3" t="s">
        <v>5</v>
      </c>
      <c r="C27" s="3" t="s">
        <v>7</v>
      </c>
      <c r="D27" s="3" t="s">
        <v>38</v>
      </c>
      <c r="E27" s="3">
        <v>60</v>
      </c>
      <c r="F27" s="3">
        <v>0</v>
      </c>
      <c r="G27" s="4">
        <f t="shared" si="0"/>
        <v>60</v>
      </c>
      <c r="H27" s="8">
        <v>2.2999999999999998</v>
      </c>
      <c r="I27" s="6">
        <v>1367</v>
      </c>
      <c r="J27" s="4">
        <f>SUMIFS('Quality Data'!$F$6:$F$1000,'Quality Data'!$A$6:$A$1000,A27,'Quality Data'!$B$6:$B$1000,B27,'Quality Data'!$C$6:$C$1000,C27,'Quality Data'!$D$6:$D$1000,D27)</f>
        <v>2</v>
      </c>
      <c r="K27" s="4">
        <f t="shared" si="1"/>
        <v>1365</v>
      </c>
      <c r="L27" s="4">
        <f>SUMIFS('Downtime Log'!$G$6:$G$1000,'Downtime Log'!$A$6:$A$1000,A27,'Downtime Log'!$B$6:$B$1000,B27,'Downtime Log'!$C$6:$C$1000,C27,'Downtime Log'!$D$6:$D$1000,D27)</f>
        <v>2</v>
      </c>
      <c r="M27" s="4">
        <f t="shared" si="2"/>
        <v>58</v>
      </c>
      <c r="N27" s="7">
        <f t="shared" si="3"/>
        <v>0.96666666666666667</v>
      </c>
      <c r="O27" s="7">
        <f t="shared" si="4"/>
        <v>0.90347701149425286</v>
      </c>
      <c r="P27" s="7">
        <f t="shared" si="5"/>
        <v>0.99853694220921729</v>
      </c>
      <c r="Q27" s="7">
        <f t="shared" si="6"/>
        <v>0.87208333333333343</v>
      </c>
      <c r="R27" s="4">
        <f t="shared" si="7"/>
        <v>3144.1</v>
      </c>
      <c r="S27" s="3" t="s">
        <v>81</v>
      </c>
    </row>
    <row r="28" spans="1:19" ht="19.95" customHeight="1">
      <c r="A28" s="5">
        <v>46298</v>
      </c>
      <c r="B28" s="3" t="s">
        <v>5</v>
      </c>
      <c r="C28" s="3" t="s">
        <v>7</v>
      </c>
      <c r="D28" s="3" t="s">
        <v>39</v>
      </c>
      <c r="E28" s="3">
        <v>60</v>
      </c>
      <c r="F28" s="3">
        <v>30</v>
      </c>
      <c r="G28" s="4">
        <f t="shared" si="0"/>
        <v>30</v>
      </c>
      <c r="H28" s="8">
        <v>2.2999999999999998</v>
      </c>
      <c r="I28" s="6">
        <v>603</v>
      </c>
      <c r="J28" s="4">
        <f>SUMIFS('Quality Data'!$F$6:$F$1000,'Quality Data'!$A$6:$A$1000,A28,'Quality Data'!$B$6:$B$1000,B28,'Quality Data'!$C$6:$C$1000,C28,'Quality Data'!$D$6:$D$1000,D28)</f>
        <v>4</v>
      </c>
      <c r="K28" s="4">
        <f t="shared" si="1"/>
        <v>599</v>
      </c>
      <c r="L28" s="4">
        <f>SUMIFS('Downtime Log'!$G$6:$G$1000,'Downtime Log'!$A$6:$A$1000,A28,'Downtime Log'!$B$6:$B$1000,B28,'Downtime Log'!$C$6:$C$1000,C28,'Downtime Log'!$D$6:$D$1000,D28)</f>
        <v>5</v>
      </c>
      <c r="M28" s="4">
        <f t="shared" si="2"/>
        <v>25</v>
      </c>
      <c r="N28" s="7">
        <f t="shared" si="3"/>
        <v>0.83333333333333337</v>
      </c>
      <c r="O28" s="7">
        <f t="shared" si="4"/>
        <v>0.92459999999999987</v>
      </c>
      <c r="P28" s="7">
        <f t="shared" si="5"/>
        <v>0.99336650082918743</v>
      </c>
      <c r="Q28" s="7">
        <f t="shared" si="6"/>
        <v>0.7653888888888889</v>
      </c>
      <c r="R28" s="4">
        <f t="shared" si="7"/>
        <v>1386.8999999999999</v>
      </c>
      <c r="S28" s="3" t="s">
        <v>81</v>
      </c>
    </row>
    <row r="29" spans="1:19" ht="19.95" customHeight="1">
      <c r="A29" s="5">
        <v>46298</v>
      </c>
      <c r="B29" s="3" t="s">
        <v>5</v>
      </c>
      <c r="C29" s="3" t="s">
        <v>7</v>
      </c>
      <c r="D29" s="3" t="s">
        <v>40</v>
      </c>
      <c r="E29" s="3">
        <v>60</v>
      </c>
      <c r="F29" s="3">
        <v>0</v>
      </c>
      <c r="G29" s="4">
        <f t="shared" si="0"/>
        <v>60</v>
      </c>
      <c r="H29" s="8">
        <v>2.2999999999999998</v>
      </c>
      <c r="I29" s="6">
        <v>1307</v>
      </c>
      <c r="J29" s="4">
        <f>SUMIFS('Quality Data'!$F$6:$F$1000,'Quality Data'!$A$6:$A$1000,A29,'Quality Data'!$B$6:$B$1000,B29,'Quality Data'!$C$6:$C$1000,C29,'Quality Data'!$D$6:$D$1000,D29)</f>
        <v>6</v>
      </c>
      <c r="K29" s="4">
        <f t="shared" si="1"/>
        <v>1301</v>
      </c>
      <c r="L29" s="4">
        <f>SUMIFS('Downtime Log'!$G$6:$G$1000,'Downtime Log'!$A$6:$A$1000,A29,'Downtime Log'!$B$6:$B$1000,B29,'Downtime Log'!$C$6:$C$1000,C29,'Downtime Log'!$D$6:$D$1000,D29)</f>
        <v>7</v>
      </c>
      <c r="M29" s="4">
        <f t="shared" si="2"/>
        <v>53</v>
      </c>
      <c r="N29" s="7">
        <f t="shared" si="3"/>
        <v>0.8833333333333333</v>
      </c>
      <c r="O29" s="7">
        <f t="shared" si="4"/>
        <v>0.94531446540880504</v>
      </c>
      <c r="P29" s="7">
        <f t="shared" si="5"/>
        <v>0.99540933435348122</v>
      </c>
      <c r="Q29" s="7">
        <f t="shared" si="6"/>
        <v>0.83119444444444435</v>
      </c>
      <c r="R29" s="4">
        <f t="shared" si="7"/>
        <v>3006.1</v>
      </c>
      <c r="S29" s="3" t="s">
        <v>81</v>
      </c>
    </row>
    <row r="30" spans="1:19" ht="19.95" customHeight="1">
      <c r="A30" s="5">
        <v>46299</v>
      </c>
      <c r="B30" s="3" t="s">
        <v>5</v>
      </c>
      <c r="C30" s="3" t="s">
        <v>7</v>
      </c>
      <c r="D30" s="3" t="s">
        <v>33</v>
      </c>
      <c r="E30" s="3">
        <v>60</v>
      </c>
      <c r="F30" s="3">
        <v>0</v>
      </c>
      <c r="G30" s="4">
        <f t="shared" si="0"/>
        <v>60</v>
      </c>
      <c r="H30" s="8">
        <v>2.2999999999999998</v>
      </c>
      <c r="I30" s="6">
        <v>1259</v>
      </c>
      <c r="J30" s="4">
        <f>SUMIFS('Quality Data'!$F$6:$F$1000,'Quality Data'!$A$6:$A$1000,A30,'Quality Data'!$B$6:$B$1000,B30,'Quality Data'!$C$6:$C$1000,C30,'Quality Data'!$D$6:$D$1000,D30)</f>
        <v>3</v>
      </c>
      <c r="K30" s="4">
        <f t="shared" si="1"/>
        <v>1256</v>
      </c>
      <c r="L30" s="4">
        <f>SUMIFS('Downtime Log'!$G$6:$G$1000,'Downtime Log'!$A$6:$A$1000,A30,'Downtime Log'!$B$6:$B$1000,B30,'Downtime Log'!$C$6:$C$1000,C30,'Downtime Log'!$D$6:$D$1000,D30)</f>
        <v>4</v>
      </c>
      <c r="M30" s="4">
        <f t="shared" si="2"/>
        <v>56</v>
      </c>
      <c r="N30" s="7">
        <f t="shared" si="3"/>
        <v>0.93333333333333335</v>
      </c>
      <c r="O30" s="7">
        <f t="shared" si="4"/>
        <v>0.86181547619047616</v>
      </c>
      <c r="P30" s="7">
        <f t="shared" si="5"/>
        <v>0.99761715647339155</v>
      </c>
      <c r="Q30" s="7">
        <f t="shared" si="6"/>
        <v>0.8024444444444444</v>
      </c>
      <c r="R30" s="4">
        <f t="shared" si="7"/>
        <v>2895.7</v>
      </c>
      <c r="S30" s="3" t="s">
        <v>81</v>
      </c>
    </row>
    <row r="31" spans="1:19" ht="19.95" customHeight="1">
      <c r="A31" s="5">
        <v>46299</v>
      </c>
      <c r="B31" s="3" t="s">
        <v>5</v>
      </c>
      <c r="C31" s="3" t="s">
        <v>7</v>
      </c>
      <c r="D31" s="3" t="s">
        <v>34</v>
      </c>
      <c r="E31" s="3">
        <v>60</v>
      </c>
      <c r="F31" s="3">
        <v>0</v>
      </c>
      <c r="G31" s="4">
        <f t="shared" si="0"/>
        <v>60</v>
      </c>
      <c r="H31" s="8">
        <v>2.2999999999999998</v>
      </c>
      <c r="I31" s="6">
        <v>1174</v>
      </c>
      <c r="J31" s="4">
        <f>SUMIFS('Quality Data'!$F$6:$F$1000,'Quality Data'!$A$6:$A$1000,A31,'Quality Data'!$B$6:$B$1000,B31,'Quality Data'!$C$6:$C$1000,C31,'Quality Data'!$D$6:$D$1000,D31)</f>
        <v>5</v>
      </c>
      <c r="K31" s="4">
        <f t="shared" si="1"/>
        <v>1169</v>
      </c>
      <c r="L31" s="4">
        <f>SUMIFS('Downtime Log'!$G$6:$G$1000,'Downtime Log'!$A$6:$A$1000,A31,'Downtime Log'!$B$6:$B$1000,B31,'Downtime Log'!$C$6:$C$1000,C31,'Downtime Log'!$D$6:$D$1000,D31)</f>
        <v>9</v>
      </c>
      <c r="M31" s="4">
        <f t="shared" si="2"/>
        <v>51</v>
      </c>
      <c r="N31" s="7">
        <f t="shared" si="3"/>
        <v>0.85</v>
      </c>
      <c r="O31" s="7">
        <f t="shared" si="4"/>
        <v>0.88241830065359472</v>
      </c>
      <c r="P31" s="7">
        <f t="shared" si="5"/>
        <v>0.99574105621805797</v>
      </c>
      <c r="Q31" s="7">
        <f t="shared" si="6"/>
        <v>0.74686111111111109</v>
      </c>
      <c r="R31" s="4">
        <f t="shared" si="7"/>
        <v>2700.2</v>
      </c>
      <c r="S31" s="3" t="s">
        <v>81</v>
      </c>
    </row>
    <row r="32" spans="1:19" ht="19.95" customHeight="1">
      <c r="A32" s="5">
        <v>46299</v>
      </c>
      <c r="B32" s="3" t="s">
        <v>5</v>
      </c>
      <c r="C32" s="3" t="s">
        <v>7</v>
      </c>
      <c r="D32" s="3" t="s">
        <v>35</v>
      </c>
      <c r="E32" s="3">
        <v>60</v>
      </c>
      <c r="F32" s="3">
        <v>0</v>
      </c>
      <c r="G32" s="4">
        <f t="shared" si="0"/>
        <v>60</v>
      </c>
      <c r="H32" s="8">
        <v>2.2999999999999998</v>
      </c>
      <c r="I32" s="6">
        <v>1297</v>
      </c>
      <c r="J32" s="4">
        <f>SUMIFS('Quality Data'!$F$6:$F$1000,'Quality Data'!$A$6:$A$1000,A32,'Quality Data'!$B$6:$B$1000,B32,'Quality Data'!$C$6:$C$1000,C32,'Quality Data'!$D$6:$D$1000,D32)</f>
        <v>7</v>
      </c>
      <c r="K32" s="4">
        <f t="shared" si="1"/>
        <v>1290</v>
      </c>
      <c r="L32" s="4">
        <f>SUMIFS('Downtime Log'!$G$6:$G$1000,'Downtime Log'!$A$6:$A$1000,A32,'Downtime Log'!$B$6:$B$1000,B32,'Downtime Log'!$C$6:$C$1000,C32,'Downtime Log'!$D$6:$D$1000,D32)</f>
        <v>5</v>
      </c>
      <c r="M32" s="4">
        <f t="shared" si="2"/>
        <v>55</v>
      </c>
      <c r="N32" s="7">
        <f t="shared" si="3"/>
        <v>0.91666666666666663</v>
      </c>
      <c r="O32" s="7">
        <f t="shared" si="4"/>
        <v>0.90396969696969698</v>
      </c>
      <c r="P32" s="7">
        <f t="shared" si="5"/>
        <v>0.99460292983808785</v>
      </c>
      <c r="Q32" s="7">
        <f t="shared" si="6"/>
        <v>0.8241666666666666</v>
      </c>
      <c r="R32" s="4">
        <f t="shared" si="7"/>
        <v>2983.1</v>
      </c>
      <c r="S32" s="3" t="s">
        <v>81</v>
      </c>
    </row>
    <row r="33" spans="1:19" ht="19.95" customHeight="1">
      <c r="A33" s="5">
        <v>46299</v>
      </c>
      <c r="B33" s="3" t="s">
        <v>5</v>
      </c>
      <c r="C33" s="3" t="s">
        <v>7</v>
      </c>
      <c r="D33" s="3" t="s">
        <v>36</v>
      </c>
      <c r="E33" s="3">
        <v>60</v>
      </c>
      <c r="F33" s="3">
        <v>0</v>
      </c>
      <c r="G33" s="4">
        <f t="shared" si="0"/>
        <v>60</v>
      </c>
      <c r="H33" s="8">
        <v>2.2999999999999998</v>
      </c>
      <c r="I33" s="6">
        <v>1230</v>
      </c>
      <c r="J33" s="4">
        <f>SUMIFS('Quality Data'!$F$6:$F$1000,'Quality Data'!$A$6:$A$1000,A33,'Quality Data'!$B$6:$B$1000,B33,'Quality Data'!$C$6:$C$1000,C33,'Quality Data'!$D$6:$D$1000,D33)</f>
        <v>9</v>
      </c>
      <c r="K33" s="4">
        <f t="shared" si="1"/>
        <v>1221</v>
      </c>
      <c r="L33" s="4">
        <f>SUMIFS('Downtime Log'!$G$6:$G$1000,'Downtime Log'!$A$6:$A$1000,A33,'Downtime Log'!$B$6:$B$1000,B33,'Downtime Log'!$C$6:$C$1000,C33,'Downtime Log'!$D$6:$D$1000,D33)</f>
        <v>9</v>
      </c>
      <c r="M33" s="4">
        <f t="shared" si="2"/>
        <v>51</v>
      </c>
      <c r="N33" s="7">
        <f t="shared" si="3"/>
        <v>0.85</v>
      </c>
      <c r="O33" s="7">
        <f t="shared" si="4"/>
        <v>0.92450980392156867</v>
      </c>
      <c r="P33" s="7">
        <f t="shared" si="5"/>
        <v>0.99268292682926829</v>
      </c>
      <c r="Q33" s="7">
        <f t="shared" si="6"/>
        <v>0.78008333333333335</v>
      </c>
      <c r="R33" s="4">
        <f t="shared" si="7"/>
        <v>2829</v>
      </c>
      <c r="S33" s="3" t="s">
        <v>81</v>
      </c>
    </row>
    <row r="34" spans="1:19" ht="19.95" customHeight="1">
      <c r="A34" s="5">
        <v>46299</v>
      </c>
      <c r="B34" s="3" t="s">
        <v>5</v>
      </c>
      <c r="C34" s="3" t="s">
        <v>7</v>
      </c>
      <c r="D34" s="3" t="s">
        <v>37</v>
      </c>
      <c r="E34" s="3">
        <v>60</v>
      </c>
      <c r="F34" s="3">
        <v>0</v>
      </c>
      <c r="G34" s="4">
        <f t="shared" si="0"/>
        <v>60</v>
      </c>
      <c r="H34" s="8">
        <v>2.2999999999999998</v>
      </c>
      <c r="I34" s="6">
        <v>1332</v>
      </c>
      <c r="J34" s="4">
        <f>SUMIFS('Quality Data'!$F$6:$F$1000,'Quality Data'!$A$6:$A$1000,A34,'Quality Data'!$B$6:$B$1000,B34,'Quality Data'!$C$6:$C$1000,C34,'Quality Data'!$D$6:$D$1000,D34)</f>
        <v>3</v>
      </c>
      <c r="K34" s="4">
        <f t="shared" si="1"/>
        <v>1329</v>
      </c>
      <c r="L34" s="4">
        <f>SUMIFS('Downtime Log'!$G$6:$G$1000,'Downtime Log'!$A$6:$A$1000,A34,'Downtime Log'!$B$6:$B$1000,B34,'Downtime Log'!$C$6:$C$1000,C34,'Downtime Log'!$D$6:$D$1000,D34)</f>
        <v>6</v>
      </c>
      <c r="M34" s="4">
        <f t="shared" si="2"/>
        <v>54</v>
      </c>
      <c r="N34" s="7">
        <f t="shared" si="3"/>
        <v>0.9</v>
      </c>
      <c r="O34" s="7">
        <f t="shared" si="4"/>
        <v>0.94555555555555548</v>
      </c>
      <c r="P34" s="7">
        <f t="shared" si="5"/>
        <v>0.99774774774774777</v>
      </c>
      <c r="Q34" s="7">
        <f t="shared" si="6"/>
        <v>0.8490833333333333</v>
      </c>
      <c r="R34" s="4">
        <f t="shared" si="7"/>
        <v>3063.6</v>
      </c>
      <c r="S34" s="3" t="s">
        <v>81</v>
      </c>
    </row>
    <row r="35" spans="1:19" ht="19.95" customHeight="1">
      <c r="A35" s="5">
        <v>46299</v>
      </c>
      <c r="B35" s="3" t="s">
        <v>5</v>
      </c>
      <c r="C35" s="3" t="s">
        <v>7</v>
      </c>
      <c r="D35" s="3" t="s">
        <v>38</v>
      </c>
      <c r="E35" s="3">
        <v>60</v>
      </c>
      <c r="F35" s="3">
        <v>0</v>
      </c>
      <c r="G35" s="4">
        <f t="shared" si="0"/>
        <v>60</v>
      </c>
      <c r="H35" s="8">
        <v>2.2999999999999998</v>
      </c>
      <c r="I35" s="6">
        <v>1219</v>
      </c>
      <c r="J35" s="4">
        <f>SUMIFS('Quality Data'!$F$6:$F$1000,'Quality Data'!$A$6:$A$1000,A35,'Quality Data'!$B$6:$B$1000,B35,'Quality Data'!$C$6:$C$1000,C35,'Quality Data'!$D$6:$D$1000,D35)</f>
        <v>5</v>
      </c>
      <c r="K35" s="4">
        <f t="shared" si="1"/>
        <v>1214</v>
      </c>
      <c r="L35" s="4">
        <f>SUMIFS('Downtime Log'!$G$6:$G$1000,'Downtime Log'!$A$6:$A$1000,A35,'Downtime Log'!$B$6:$B$1000,B35,'Downtime Log'!$C$6:$C$1000,C35,'Downtime Log'!$D$6:$D$1000,D35)</f>
        <v>3</v>
      </c>
      <c r="M35" s="4">
        <f t="shared" si="2"/>
        <v>57</v>
      </c>
      <c r="N35" s="7">
        <f t="shared" si="3"/>
        <v>0.95</v>
      </c>
      <c r="O35" s="7">
        <f t="shared" si="4"/>
        <v>0.81979532163742685</v>
      </c>
      <c r="P35" s="7">
        <f t="shared" si="5"/>
        <v>0.99589827727645608</v>
      </c>
      <c r="Q35" s="7">
        <f t="shared" si="6"/>
        <v>0.77561111111111103</v>
      </c>
      <c r="R35" s="4">
        <f t="shared" si="7"/>
        <v>2803.7</v>
      </c>
      <c r="S35" s="3" t="s">
        <v>81</v>
      </c>
    </row>
    <row r="36" spans="1:19" ht="19.95" customHeight="1">
      <c r="A36" s="5">
        <v>46299</v>
      </c>
      <c r="B36" s="3" t="s">
        <v>5</v>
      </c>
      <c r="C36" s="3" t="s">
        <v>7</v>
      </c>
      <c r="D36" s="3" t="s">
        <v>39</v>
      </c>
      <c r="E36" s="3">
        <v>60</v>
      </c>
      <c r="F36" s="3">
        <v>30</v>
      </c>
      <c r="G36" s="4">
        <f t="shared" si="0"/>
        <v>30</v>
      </c>
      <c r="H36" s="8">
        <v>2.2999999999999998</v>
      </c>
      <c r="I36" s="6">
        <v>592</v>
      </c>
      <c r="J36" s="4">
        <f>SUMIFS('Quality Data'!$F$6:$F$1000,'Quality Data'!$A$6:$A$1000,A36,'Quality Data'!$B$6:$B$1000,B36,'Quality Data'!$C$6:$C$1000,C36,'Quality Data'!$D$6:$D$1000,D36)</f>
        <v>7</v>
      </c>
      <c r="K36" s="4">
        <f t="shared" si="1"/>
        <v>585</v>
      </c>
      <c r="L36" s="4">
        <f>SUMIFS('Downtime Log'!$G$6:$G$1000,'Downtime Log'!$A$6:$A$1000,A36,'Downtime Log'!$B$6:$B$1000,B36,'Downtime Log'!$C$6:$C$1000,C36,'Downtime Log'!$D$6:$D$1000,D36)</f>
        <v>3</v>
      </c>
      <c r="M36" s="4">
        <f t="shared" si="2"/>
        <v>27</v>
      </c>
      <c r="N36" s="7">
        <f t="shared" si="3"/>
        <v>0.9</v>
      </c>
      <c r="O36" s="7">
        <f t="shared" si="4"/>
        <v>0.84049382716049381</v>
      </c>
      <c r="P36" s="7">
        <f t="shared" si="5"/>
        <v>0.98817567567567566</v>
      </c>
      <c r="Q36" s="7">
        <f t="shared" si="6"/>
        <v>0.74750000000000005</v>
      </c>
      <c r="R36" s="4">
        <f t="shared" si="7"/>
        <v>1361.6</v>
      </c>
      <c r="S36" s="3" t="s">
        <v>81</v>
      </c>
    </row>
    <row r="37" spans="1:19" ht="19.95" customHeight="1">
      <c r="A37" s="5">
        <v>46299</v>
      </c>
      <c r="B37" s="3" t="s">
        <v>5</v>
      </c>
      <c r="C37" s="3" t="s">
        <v>7</v>
      </c>
      <c r="D37" s="3" t="s">
        <v>40</v>
      </c>
      <c r="E37" s="3">
        <v>60</v>
      </c>
      <c r="F37" s="3">
        <v>0</v>
      </c>
      <c r="G37" s="4">
        <f t="shared" si="0"/>
        <v>60</v>
      </c>
      <c r="H37" s="8">
        <v>2.2999999999999998</v>
      </c>
      <c r="I37" s="6">
        <v>1169</v>
      </c>
      <c r="J37" s="4">
        <f>SUMIFS('Quality Data'!$F$6:$F$1000,'Quality Data'!$A$6:$A$1000,A37,'Quality Data'!$B$6:$B$1000,B37,'Quality Data'!$C$6:$C$1000,C37,'Quality Data'!$D$6:$D$1000,D37)</f>
        <v>9</v>
      </c>
      <c r="K37" s="4">
        <f t="shared" si="1"/>
        <v>1160</v>
      </c>
      <c r="L37" s="4">
        <f>SUMIFS('Downtime Log'!$G$6:$G$1000,'Downtime Log'!$A$6:$A$1000,A37,'Downtime Log'!$B$6:$B$1000,B37,'Downtime Log'!$C$6:$C$1000,C37,'Downtime Log'!$D$6:$D$1000,D37)</f>
        <v>8</v>
      </c>
      <c r="M37" s="4">
        <f t="shared" si="2"/>
        <v>52</v>
      </c>
      <c r="N37" s="7">
        <f t="shared" si="3"/>
        <v>0.8666666666666667</v>
      </c>
      <c r="O37" s="7">
        <f t="shared" si="4"/>
        <v>0.86176282051282049</v>
      </c>
      <c r="P37" s="7">
        <f t="shared" si="5"/>
        <v>0.99230111206159111</v>
      </c>
      <c r="Q37" s="7">
        <f t="shared" si="6"/>
        <v>0.74111111111111105</v>
      </c>
      <c r="R37" s="4">
        <f t="shared" si="7"/>
        <v>2688.7</v>
      </c>
      <c r="S37" s="3" t="s">
        <v>81</v>
      </c>
    </row>
    <row r="38" spans="1:19" ht="19.95" customHeight="1">
      <c r="A38" s="5">
        <v>46300</v>
      </c>
      <c r="B38" s="3" t="s">
        <v>5</v>
      </c>
      <c r="C38" s="3" t="s">
        <v>7</v>
      </c>
      <c r="D38" s="3" t="s">
        <v>33</v>
      </c>
      <c r="E38" s="3">
        <v>60</v>
      </c>
      <c r="F38" s="3">
        <v>0</v>
      </c>
      <c r="G38" s="4">
        <f t="shared" ref="G38:G69" si="8">MAX(0,E38-F38)</f>
        <v>60</v>
      </c>
      <c r="H38" s="8">
        <v>2.2999999999999998</v>
      </c>
      <c r="I38" s="6">
        <v>1327</v>
      </c>
      <c r="J38" s="4">
        <f>SUMIFS('Quality Data'!$F$6:$F$1000,'Quality Data'!$A$6:$A$1000,A38,'Quality Data'!$B$6:$B$1000,B38,'Quality Data'!$C$6:$C$1000,C38,'Quality Data'!$D$6:$D$1000,D38)</f>
        <v>6</v>
      </c>
      <c r="K38" s="4">
        <f t="shared" ref="K38:K69" si="9">MAX(0,I38-J38)</f>
        <v>1321</v>
      </c>
      <c r="L38" s="4">
        <f>SUMIFS('Downtime Log'!$G$6:$G$1000,'Downtime Log'!$A$6:$A$1000,A38,'Downtime Log'!$B$6:$B$1000,B38,'Downtime Log'!$C$6:$C$1000,C38,'Downtime Log'!$D$6:$D$1000,D38)</f>
        <v>5</v>
      </c>
      <c r="M38" s="4">
        <f t="shared" ref="M38:M69" si="10">MAX(0,G38-L38)</f>
        <v>55</v>
      </c>
      <c r="N38" s="7">
        <f t="shared" ref="N38:N69" si="11">IFERROR(M38/G38,0)</f>
        <v>0.91666666666666663</v>
      </c>
      <c r="O38" s="7">
        <f t="shared" ref="O38:O61" si="12">IFERROR(H38*I38/(M38*60),0)</f>
        <v>0.92487878787878786</v>
      </c>
      <c r="P38" s="7">
        <f t="shared" ref="P38:P61" si="13">IFERROR(K38/I38,0)</f>
        <v>0.99547852298417483</v>
      </c>
      <c r="Q38" s="7">
        <f t="shared" ref="Q38:Q69" si="14">N38*O38*P38</f>
        <v>0.84397222222222212</v>
      </c>
      <c r="R38" s="4">
        <f t="shared" ref="R38:R61" si="15">H38*I38</f>
        <v>3052.1</v>
      </c>
      <c r="S38" s="3" t="s">
        <v>81</v>
      </c>
    </row>
    <row r="39" spans="1:19" ht="19.95" customHeight="1">
      <c r="A39" s="5">
        <v>46300</v>
      </c>
      <c r="B39" s="3" t="s">
        <v>5</v>
      </c>
      <c r="C39" s="3" t="s">
        <v>7</v>
      </c>
      <c r="D39" s="3" t="s">
        <v>34</v>
      </c>
      <c r="E39" s="3">
        <v>60</v>
      </c>
      <c r="F39" s="3">
        <v>0</v>
      </c>
      <c r="G39" s="4">
        <f t="shared" si="8"/>
        <v>60</v>
      </c>
      <c r="H39" s="8">
        <v>2.2999999999999998</v>
      </c>
      <c r="I39" s="6">
        <v>1233</v>
      </c>
      <c r="J39" s="4">
        <f>SUMIFS('Quality Data'!$F$6:$F$1000,'Quality Data'!$A$6:$A$1000,A39,'Quality Data'!$B$6:$B$1000,B39,'Quality Data'!$C$6:$C$1000,C39,'Quality Data'!$D$6:$D$1000,D39)</f>
        <v>8</v>
      </c>
      <c r="K39" s="4">
        <f t="shared" si="9"/>
        <v>1225</v>
      </c>
      <c r="L39" s="4">
        <f>SUMIFS('Downtime Log'!$G$6:$G$1000,'Downtime Log'!$A$6:$A$1000,A39,'Downtime Log'!$B$6:$B$1000,B39,'Downtime Log'!$C$6:$C$1000,C39,'Downtime Log'!$D$6:$D$1000,D39)</f>
        <v>10</v>
      </c>
      <c r="M39" s="4">
        <f t="shared" si="10"/>
        <v>50</v>
      </c>
      <c r="N39" s="7">
        <f t="shared" si="11"/>
        <v>0.83333333333333337</v>
      </c>
      <c r="O39" s="7">
        <f t="shared" si="12"/>
        <v>0.94529999999999992</v>
      </c>
      <c r="P39" s="7">
        <f t="shared" si="13"/>
        <v>0.99351175993511764</v>
      </c>
      <c r="Q39" s="7">
        <f t="shared" si="14"/>
        <v>0.78263888888888888</v>
      </c>
      <c r="R39" s="4">
        <f t="shared" si="15"/>
        <v>2835.8999999999996</v>
      </c>
      <c r="S39" s="3" t="s">
        <v>81</v>
      </c>
    </row>
    <row r="40" spans="1:19" ht="19.95" customHeight="1">
      <c r="A40" s="5">
        <v>46300</v>
      </c>
      <c r="B40" s="3" t="s">
        <v>5</v>
      </c>
      <c r="C40" s="3" t="s">
        <v>7</v>
      </c>
      <c r="D40" s="3" t="s">
        <v>35</v>
      </c>
      <c r="E40" s="3">
        <v>60</v>
      </c>
      <c r="F40" s="3">
        <v>0</v>
      </c>
      <c r="G40" s="4">
        <f t="shared" si="8"/>
        <v>60</v>
      </c>
      <c r="H40" s="8">
        <v>2.2999999999999998</v>
      </c>
      <c r="I40" s="6">
        <v>1219</v>
      </c>
      <c r="J40" s="4">
        <f>SUMIFS('Quality Data'!$F$6:$F$1000,'Quality Data'!$A$6:$A$1000,A40,'Quality Data'!$B$6:$B$1000,B40,'Quality Data'!$C$6:$C$1000,C40,'Quality Data'!$D$6:$D$1000,D40)</f>
        <v>2</v>
      </c>
      <c r="K40" s="4">
        <f t="shared" si="9"/>
        <v>1217</v>
      </c>
      <c r="L40" s="4">
        <f>SUMIFS('Downtime Log'!$G$6:$G$1000,'Downtime Log'!$A$6:$A$1000,A40,'Downtime Log'!$B$6:$B$1000,B40,'Downtime Log'!$C$6:$C$1000,C40,'Downtime Log'!$D$6:$D$1000,D40)</f>
        <v>3</v>
      </c>
      <c r="M40" s="4">
        <f t="shared" si="10"/>
        <v>57</v>
      </c>
      <c r="N40" s="7">
        <f t="shared" si="11"/>
        <v>0.95</v>
      </c>
      <c r="O40" s="7">
        <f t="shared" si="12"/>
        <v>0.81979532163742685</v>
      </c>
      <c r="P40" s="7">
        <f t="shared" si="13"/>
        <v>0.9983593109105825</v>
      </c>
      <c r="Q40" s="7">
        <f t="shared" si="14"/>
        <v>0.77752777777777782</v>
      </c>
      <c r="R40" s="4">
        <f t="shared" si="15"/>
        <v>2803.7</v>
      </c>
      <c r="S40" s="3" t="s">
        <v>81</v>
      </c>
    </row>
    <row r="41" spans="1:19" ht="19.95" customHeight="1">
      <c r="A41" s="5">
        <v>46300</v>
      </c>
      <c r="B41" s="3" t="s">
        <v>5</v>
      </c>
      <c r="C41" s="3" t="s">
        <v>7</v>
      </c>
      <c r="D41" s="3" t="s">
        <v>36</v>
      </c>
      <c r="E41" s="3">
        <v>60</v>
      </c>
      <c r="F41" s="3">
        <v>0</v>
      </c>
      <c r="G41" s="4">
        <f t="shared" si="8"/>
        <v>60</v>
      </c>
      <c r="H41" s="8">
        <v>2.2999999999999998</v>
      </c>
      <c r="I41" s="6">
        <v>1096</v>
      </c>
      <c r="J41" s="4">
        <f>SUMIFS('Quality Data'!$F$6:$F$1000,'Quality Data'!$A$6:$A$1000,A41,'Quality Data'!$B$6:$B$1000,B41,'Quality Data'!$C$6:$C$1000,C41,'Quality Data'!$D$6:$D$1000,D41)</f>
        <v>4</v>
      </c>
      <c r="K41" s="4">
        <f t="shared" si="9"/>
        <v>1092</v>
      </c>
      <c r="L41" s="4">
        <f>SUMIFS('Downtime Log'!$G$6:$G$1000,'Downtime Log'!$A$6:$A$1000,A41,'Downtime Log'!$B$6:$B$1000,B41,'Downtime Log'!$C$6:$C$1000,C41,'Downtime Log'!$D$6:$D$1000,D41)</f>
        <v>10</v>
      </c>
      <c r="M41" s="4">
        <f t="shared" si="10"/>
        <v>50</v>
      </c>
      <c r="N41" s="7">
        <f t="shared" si="11"/>
        <v>0.83333333333333337</v>
      </c>
      <c r="O41" s="7">
        <f t="shared" si="12"/>
        <v>0.84026666666666661</v>
      </c>
      <c r="P41" s="7">
        <f t="shared" si="13"/>
        <v>0.9963503649635036</v>
      </c>
      <c r="Q41" s="7">
        <f t="shared" si="14"/>
        <v>0.69766666666666655</v>
      </c>
      <c r="R41" s="4">
        <f t="shared" si="15"/>
        <v>2520.7999999999997</v>
      </c>
      <c r="S41" s="3" t="s">
        <v>81</v>
      </c>
    </row>
    <row r="42" spans="1:19" ht="19.95" customHeight="1">
      <c r="A42" s="5">
        <v>46300</v>
      </c>
      <c r="B42" s="3" t="s">
        <v>5</v>
      </c>
      <c r="C42" s="3" t="s">
        <v>7</v>
      </c>
      <c r="D42" s="3" t="s">
        <v>37</v>
      </c>
      <c r="E42" s="3">
        <v>60</v>
      </c>
      <c r="F42" s="3">
        <v>0</v>
      </c>
      <c r="G42" s="4">
        <f t="shared" si="8"/>
        <v>60</v>
      </c>
      <c r="H42" s="8">
        <v>2.2999999999999998</v>
      </c>
      <c r="I42" s="6">
        <v>1191</v>
      </c>
      <c r="J42" s="4">
        <f>SUMIFS('Quality Data'!$F$6:$F$1000,'Quality Data'!$A$6:$A$1000,A42,'Quality Data'!$B$6:$B$1000,B42,'Quality Data'!$C$6:$C$1000,C42,'Quality Data'!$D$6:$D$1000,D42)</f>
        <v>6</v>
      </c>
      <c r="K42" s="4">
        <f t="shared" si="9"/>
        <v>1185</v>
      </c>
      <c r="L42" s="4">
        <f>SUMIFS('Downtime Log'!$G$6:$G$1000,'Downtime Log'!$A$6:$A$1000,A42,'Downtime Log'!$B$6:$B$1000,B42,'Downtime Log'!$C$6:$C$1000,C42,'Downtime Log'!$D$6:$D$1000,D42)</f>
        <v>7</v>
      </c>
      <c r="M42" s="4">
        <f t="shared" si="10"/>
        <v>53</v>
      </c>
      <c r="N42" s="7">
        <f t="shared" si="11"/>
        <v>0.8833333333333333</v>
      </c>
      <c r="O42" s="7">
        <f t="shared" si="12"/>
        <v>0.8614150943396226</v>
      </c>
      <c r="P42" s="7">
        <f t="shared" si="13"/>
        <v>0.99496221662468509</v>
      </c>
      <c r="Q42" s="7">
        <f t="shared" si="14"/>
        <v>0.75708333333333322</v>
      </c>
      <c r="R42" s="4">
        <f t="shared" si="15"/>
        <v>2739.2999999999997</v>
      </c>
      <c r="S42" s="3" t="s">
        <v>81</v>
      </c>
    </row>
    <row r="43" spans="1:19" ht="19.95" customHeight="1">
      <c r="A43" s="5">
        <v>46300</v>
      </c>
      <c r="B43" s="3" t="s">
        <v>5</v>
      </c>
      <c r="C43" s="3" t="s">
        <v>7</v>
      </c>
      <c r="D43" s="3" t="s">
        <v>38</v>
      </c>
      <c r="E43" s="3">
        <v>60</v>
      </c>
      <c r="F43" s="3">
        <v>0</v>
      </c>
      <c r="G43" s="4">
        <f t="shared" si="8"/>
        <v>60</v>
      </c>
      <c r="H43" s="8">
        <v>2.2999999999999998</v>
      </c>
      <c r="I43" s="6">
        <v>1359</v>
      </c>
      <c r="J43" s="4">
        <f>SUMIFS('Quality Data'!$F$6:$F$1000,'Quality Data'!$A$6:$A$1000,A43,'Quality Data'!$B$6:$B$1000,B43,'Quality Data'!$C$6:$C$1000,C43,'Quality Data'!$D$6:$D$1000,D43)</f>
        <v>8</v>
      </c>
      <c r="K43" s="4">
        <f t="shared" si="9"/>
        <v>1351</v>
      </c>
      <c r="L43" s="4">
        <f>SUMIFS('Downtime Log'!$G$6:$G$1000,'Downtime Log'!$A$6:$A$1000,A43,'Downtime Log'!$B$6:$B$1000,B43,'Downtime Log'!$C$6:$C$1000,C43,'Downtime Log'!$D$6:$D$1000,D43)</f>
        <v>1</v>
      </c>
      <c r="M43" s="4">
        <f t="shared" si="10"/>
        <v>59</v>
      </c>
      <c r="N43" s="7">
        <f t="shared" si="11"/>
        <v>0.98333333333333328</v>
      </c>
      <c r="O43" s="7">
        <f t="shared" si="12"/>
        <v>0.88296610169491518</v>
      </c>
      <c r="P43" s="7">
        <f t="shared" si="13"/>
        <v>0.99411331861662988</v>
      </c>
      <c r="Q43" s="7">
        <f t="shared" si="14"/>
        <v>0.86313888888888879</v>
      </c>
      <c r="R43" s="4">
        <f t="shared" si="15"/>
        <v>3125.7</v>
      </c>
      <c r="S43" s="3" t="s">
        <v>81</v>
      </c>
    </row>
    <row r="44" spans="1:19" ht="19.95" customHeight="1">
      <c r="A44" s="5">
        <v>46300</v>
      </c>
      <c r="B44" s="3" t="s">
        <v>5</v>
      </c>
      <c r="C44" s="3" t="s">
        <v>7</v>
      </c>
      <c r="D44" s="3" t="s">
        <v>39</v>
      </c>
      <c r="E44" s="3">
        <v>60</v>
      </c>
      <c r="F44" s="3">
        <v>30</v>
      </c>
      <c r="G44" s="4">
        <f t="shared" si="8"/>
        <v>30</v>
      </c>
      <c r="H44" s="8">
        <v>2.2999999999999998</v>
      </c>
      <c r="I44" s="6">
        <v>613</v>
      </c>
      <c r="J44" s="4">
        <f>SUMIFS('Quality Data'!$F$6:$F$1000,'Quality Data'!$A$6:$A$1000,A44,'Quality Data'!$B$6:$B$1000,B44,'Quality Data'!$C$6:$C$1000,C44,'Quality Data'!$D$6:$D$1000,D44)</f>
        <v>2</v>
      </c>
      <c r="K44" s="4">
        <f t="shared" si="9"/>
        <v>611</v>
      </c>
      <c r="L44" s="4">
        <f>SUMIFS('Downtime Log'!$G$6:$G$1000,'Downtime Log'!$A$6:$A$1000,A44,'Downtime Log'!$B$6:$B$1000,B44,'Downtime Log'!$C$6:$C$1000,C44,'Downtime Log'!$D$6:$D$1000,D44)</f>
        <v>4</v>
      </c>
      <c r="M44" s="4">
        <f t="shared" si="10"/>
        <v>26</v>
      </c>
      <c r="N44" s="7">
        <f t="shared" si="11"/>
        <v>0.8666666666666667</v>
      </c>
      <c r="O44" s="7">
        <f t="shared" si="12"/>
        <v>0.90378205128205125</v>
      </c>
      <c r="P44" s="7">
        <f t="shared" si="13"/>
        <v>0.99673735725938006</v>
      </c>
      <c r="Q44" s="7">
        <f t="shared" si="14"/>
        <v>0.78072222222222221</v>
      </c>
      <c r="R44" s="4">
        <f t="shared" si="15"/>
        <v>1409.8999999999999</v>
      </c>
      <c r="S44" s="3" t="s">
        <v>81</v>
      </c>
    </row>
    <row r="45" spans="1:19" ht="19.95" customHeight="1">
      <c r="A45" s="5">
        <v>46300</v>
      </c>
      <c r="B45" s="3" t="s">
        <v>5</v>
      </c>
      <c r="C45" s="3" t="s">
        <v>7</v>
      </c>
      <c r="D45" s="3" t="s">
        <v>40</v>
      </c>
      <c r="E45" s="3">
        <v>60</v>
      </c>
      <c r="F45" s="3">
        <v>0</v>
      </c>
      <c r="G45" s="4">
        <f t="shared" si="8"/>
        <v>60</v>
      </c>
      <c r="H45" s="8">
        <v>2.2999999999999998</v>
      </c>
      <c r="I45" s="6">
        <v>1230</v>
      </c>
      <c r="J45" s="4">
        <f>SUMIFS('Quality Data'!$F$6:$F$1000,'Quality Data'!$A$6:$A$1000,A45,'Quality Data'!$B$6:$B$1000,B45,'Quality Data'!$C$6:$C$1000,C45,'Quality Data'!$D$6:$D$1000,D45)</f>
        <v>4</v>
      </c>
      <c r="K45" s="4">
        <f t="shared" si="9"/>
        <v>1226</v>
      </c>
      <c r="L45" s="4">
        <f>SUMIFS('Downtime Log'!$G$6:$G$1000,'Downtime Log'!$A$6:$A$1000,A45,'Downtime Log'!$B$6:$B$1000,B45,'Downtime Log'!$C$6:$C$1000,C45,'Downtime Log'!$D$6:$D$1000,D45)</f>
        <v>9</v>
      </c>
      <c r="M45" s="4">
        <f t="shared" si="10"/>
        <v>51</v>
      </c>
      <c r="N45" s="7">
        <f t="shared" si="11"/>
        <v>0.85</v>
      </c>
      <c r="O45" s="7">
        <f t="shared" si="12"/>
        <v>0.92450980392156867</v>
      </c>
      <c r="P45" s="7">
        <f t="shared" si="13"/>
        <v>0.99674796747967476</v>
      </c>
      <c r="Q45" s="7">
        <f t="shared" si="14"/>
        <v>0.78327777777777785</v>
      </c>
      <c r="R45" s="4">
        <f t="shared" si="15"/>
        <v>2829</v>
      </c>
      <c r="S45" s="3" t="s">
        <v>81</v>
      </c>
    </row>
    <row r="46" spans="1:19" ht="19.95" customHeight="1">
      <c r="A46" s="5">
        <v>46301</v>
      </c>
      <c r="B46" s="3" t="s">
        <v>5</v>
      </c>
      <c r="C46" s="3" t="s">
        <v>7</v>
      </c>
      <c r="D46" s="3" t="s">
        <v>33</v>
      </c>
      <c r="E46" s="3">
        <v>60</v>
      </c>
      <c r="F46" s="3">
        <v>0</v>
      </c>
      <c r="G46" s="4">
        <f t="shared" si="8"/>
        <v>60</v>
      </c>
      <c r="H46" s="8">
        <v>2.2999999999999998</v>
      </c>
      <c r="I46" s="6">
        <v>1184</v>
      </c>
      <c r="J46" s="4">
        <f>SUMIFS('Quality Data'!$F$6:$F$1000,'Quality Data'!$A$6:$A$1000,A46,'Quality Data'!$B$6:$B$1000,B46,'Quality Data'!$C$6:$C$1000,C46,'Quality Data'!$D$6:$D$1000,D46)</f>
        <v>9</v>
      </c>
      <c r="K46" s="4">
        <f t="shared" si="9"/>
        <v>1175</v>
      </c>
      <c r="L46" s="4">
        <f>SUMIFS('Downtime Log'!$G$6:$G$1000,'Downtime Log'!$A$6:$A$1000,A46,'Downtime Log'!$B$6:$B$1000,B46,'Downtime Log'!$C$6:$C$1000,C46,'Downtime Log'!$D$6:$D$1000,D46)</f>
        <v>6</v>
      </c>
      <c r="M46" s="4">
        <f t="shared" si="10"/>
        <v>54</v>
      </c>
      <c r="N46" s="7">
        <f t="shared" si="11"/>
        <v>0.9</v>
      </c>
      <c r="O46" s="7">
        <f t="shared" si="12"/>
        <v>0.84049382716049381</v>
      </c>
      <c r="P46" s="7">
        <f t="shared" si="13"/>
        <v>0.99239864864864868</v>
      </c>
      <c r="Q46" s="7">
        <f t="shared" si="14"/>
        <v>0.75069444444444455</v>
      </c>
      <c r="R46" s="4">
        <f t="shared" si="15"/>
        <v>2723.2</v>
      </c>
      <c r="S46" s="3" t="s">
        <v>81</v>
      </c>
    </row>
    <row r="47" spans="1:19" ht="19.95" customHeight="1">
      <c r="A47" s="5">
        <v>46301</v>
      </c>
      <c r="B47" s="3" t="s">
        <v>5</v>
      </c>
      <c r="C47" s="3" t="s">
        <v>7</v>
      </c>
      <c r="D47" s="3" t="s">
        <v>34</v>
      </c>
      <c r="E47" s="3">
        <v>60</v>
      </c>
      <c r="F47" s="3">
        <v>0</v>
      </c>
      <c r="G47" s="4">
        <f t="shared" si="8"/>
        <v>60</v>
      </c>
      <c r="H47" s="8">
        <v>2.2999999999999998</v>
      </c>
      <c r="I47" s="6">
        <v>1169</v>
      </c>
      <c r="J47" s="4">
        <f>SUMIFS('Quality Data'!$F$6:$F$1000,'Quality Data'!$A$6:$A$1000,A47,'Quality Data'!$B$6:$B$1000,B47,'Quality Data'!$C$6:$C$1000,C47,'Quality Data'!$D$6:$D$1000,D47)</f>
        <v>3</v>
      </c>
      <c r="K47" s="4">
        <f t="shared" si="9"/>
        <v>1166</v>
      </c>
      <c r="L47" s="4">
        <f>SUMIFS('Downtime Log'!$G$6:$G$1000,'Downtime Log'!$A$6:$A$1000,A47,'Downtime Log'!$B$6:$B$1000,B47,'Downtime Log'!$C$6:$C$1000,C47,'Downtime Log'!$D$6:$D$1000,D47)</f>
        <v>8</v>
      </c>
      <c r="M47" s="4">
        <f t="shared" si="10"/>
        <v>52</v>
      </c>
      <c r="N47" s="7">
        <f t="shared" si="11"/>
        <v>0.8666666666666667</v>
      </c>
      <c r="O47" s="7">
        <f t="shared" si="12"/>
        <v>0.86176282051282049</v>
      </c>
      <c r="P47" s="7">
        <f t="shared" si="13"/>
        <v>0.99743370402053033</v>
      </c>
      <c r="Q47" s="7">
        <f t="shared" si="14"/>
        <v>0.74494444444444441</v>
      </c>
      <c r="R47" s="4">
        <f t="shared" si="15"/>
        <v>2688.7</v>
      </c>
      <c r="S47" s="3" t="s">
        <v>81</v>
      </c>
    </row>
    <row r="48" spans="1:19" ht="19.95" customHeight="1">
      <c r="A48" s="5">
        <v>46301</v>
      </c>
      <c r="B48" s="3" t="s">
        <v>5</v>
      </c>
      <c r="C48" s="3" t="s">
        <v>7</v>
      </c>
      <c r="D48" s="3" t="s">
        <v>35</v>
      </c>
      <c r="E48" s="3">
        <v>60</v>
      </c>
      <c r="F48" s="3">
        <v>0</v>
      </c>
      <c r="G48" s="4">
        <f t="shared" si="8"/>
        <v>60</v>
      </c>
      <c r="H48" s="8">
        <v>2.2999999999999998</v>
      </c>
      <c r="I48" s="6">
        <v>1289</v>
      </c>
      <c r="J48" s="4">
        <f>SUMIFS('Quality Data'!$F$6:$F$1000,'Quality Data'!$A$6:$A$1000,A48,'Quality Data'!$B$6:$B$1000,B48,'Quality Data'!$C$6:$C$1000,C48,'Quality Data'!$D$6:$D$1000,D48)</f>
        <v>5</v>
      </c>
      <c r="K48" s="4">
        <f t="shared" si="9"/>
        <v>1284</v>
      </c>
      <c r="L48" s="4">
        <f>SUMIFS('Downtime Log'!$G$6:$G$1000,'Downtime Log'!$A$6:$A$1000,A48,'Downtime Log'!$B$6:$B$1000,B48,'Downtime Log'!$C$6:$C$1000,C48,'Downtime Log'!$D$6:$D$1000,D48)</f>
        <v>4</v>
      </c>
      <c r="M48" s="4">
        <f t="shared" si="10"/>
        <v>56</v>
      </c>
      <c r="N48" s="7">
        <f t="shared" si="11"/>
        <v>0.93333333333333335</v>
      </c>
      <c r="O48" s="7">
        <f t="shared" si="12"/>
        <v>0.88235119047619037</v>
      </c>
      <c r="P48" s="7">
        <f t="shared" si="13"/>
        <v>0.99612102404965086</v>
      </c>
      <c r="Q48" s="7">
        <f t="shared" si="14"/>
        <v>0.82033333333333325</v>
      </c>
      <c r="R48" s="4">
        <f t="shared" si="15"/>
        <v>2964.7</v>
      </c>
      <c r="S48" s="3" t="s">
        <v>81</v>
      </c>
    </row>
    <row r="49" spans="1:19" ht="19.95" customHeight="1">
      <c r="A49" s="5">
        <v>46301</v>
      </c>
      <c r="B49" s="3" t="s">
        <v>5</v>
      </c>
      <c r="C49" s="3" t="s">
        <v>7</v>
      </c>
      <c r="D49" s="3" t="s">
        <v>36</v>
      </c>
      <c r="E49" s="3">
        <v>60</v>
      </c>
      <c r="F49" s="3">
        <v>0</v>
      </c>
      <c r="G49" s="4">
        <f t="shared" si="8"/>
        <v>60</v>
      </c>
      <c r="H49" s="8">
        <v>2.2999999999999998</v>
      </c>
      <c r="I49" s="6">
        <v>1155</v>
      </c>
      <c r="J49" s="4">
        <f>SUMIFS('Quality Data'!$F$6:$F$1000,'Quality Data'!$A$6:$A$1000,A49,'Quality Data'!$B$6:$B$1000,B49,'Quality Data'!$C$6:$C$1000,C49,'Quality Data'!$D$6:$D$1000,D49)</f>
        <v>7</v>
      </c>
      <c r="K49" s="4">
        <f t="shared" si="9"/>
        <v>1148</v>
      </c>
      <c r="L49" s="4">
        <f>SUMIFS('Downtime Log'!$G$6:$G$1000,'Downtime Log'!$A$6:$A$1000,A49,'Downtime Log'!$B$6:$B$1000,B49,'Downtime Log'!$C$6:$C$1000,C49,'Downtime Log'!$D$6:$D$1000,D49)</f>
        <v>11</v>
      </c>
      <c r="M49" s="4">
        <f t="shared" si="10"/>
        <v>49</v>
      </c>
      <c r="N49" s="7">
        <f t="shared" si="11"/>
        <v>0.81666666666666665</v>
      </c>
      <c r="O49" s="7">
        <f t="shared" si="12"/>
        <v>0.90357142857142858</v>
      </c>
      <c r="P49" s="7">
        <f t="shared" si="13"/>
        <v>0.9939393939393939</v>
      </c>
      <c r="Q49" s="7">
        <f t="shared" si="14"/>
        <v>0.73344444444444445</v>
      </c>
      <c r="R49" s="4">
        <f t="shared" si="15"/>
        <v>2656.5</v>
      </c>
      <c r="S49" s="3" t="s">
        <v>81</v>
      </c>
    </row>
    <row r="50" spans="1:19" ht="19.95" customHeight="1">
      <c r="A50" s="5">
        <v>46301</v>
      </c>
      <c r="B50" s="3" t="s">
        <v>5</v>
      </c>
      <c r="C50" s="3" t="s">
        <v>7</v>
      </c>
      <c r="D50" s="3" t="s">
        <v>37</v>
      </c>
      <c r="E50" s="3">
        <v>60</v>
      </c>
      <c r="F50" s="3">
        <v>0</v>
      </c>
      <c r="G50" s="4">
        <f t="shared" si="8"/>
        <v>60</v>
      </c>
      <c r="H50" s="8">
        <v>2.2999999999999998</v>
      </c>
      <c r="I50" s="6">
        <v>1327</v>
      </c>
      <c r="J50" s="4">
        <f>SUMIFS('Quality Data'!$F$6:$F$1000,'Quality Data'!$A$6:$A$1000,A50,'Quality Data'!$B$6:$B$1000,B50,'Quality Data'!$C$6:$C$1000,C50,'Quality Data'!$D$6:$D$1000,D50)</f>
        <v>9</v>
      </c>
      <c r="K50" s="4">
        <f t="shared" si="9"/>
        <v>1318</v>
      </c>
      <c r="L50" s="4">
        <f>SUMIFS('Downtime Log'!$G$6:$G$1000,'Downtime Log'!$A$6:$A$1000,A50,'Downtime Log'!$B$6:$B$1000,B50,'Downtime Log'!$C$6:$C$1000,C50,'Downtime Log'!$D$6:$D$1000,D50)</f>
        <v>5</v>
      </c>
      <c r="M50" s="4">
        <f t="shared" si="10"/>
        <v>55</v>
      </c>
      <c r="N50" s="7">
        <f t="shared" si="11"/>
        <v>0.91666666666666663</v>
      </c>
      <c r="O50" s="7">
        <f t="shared" si="12"/>
        <v>0.92487878787878786</v>
      </c>
      <c r="P50" s="7">
        <f t="shared" si="13"/>
        <v>0.9932177844762623</v>
      </c>
      <c r="Q50" s="7">
        <f t="shared" si="14"/>
        <v>0.84205555555555556</v>
      </c>
      <c r="R50" s="4">
        <f t="shared" si="15"/>
        <v>3052.1</v>
      </c>
      <c r="S50" s="3" t="s">
        <v>81</v>
      </c>
    </row>
    <row r="51" spans="1:19" ht="19.95" customHeight="1">
      <c r="A51" s="5">
        <v>46301</v>
      </c>
      <c r="B51" s="3" t="s">
        <v>5</v>
      </c>
      <c r="C51" s="3" t="s">
        <v>7</v>
      </c>
      <c r="D51" s="3" t="s">
        <v>38</v>
      </c>
      <c r="E51" s="3">
        <v>60</v>
      </c>
      <c r="F51" s="3">
        <v>0</v>
      </c>
      <c r="G51" s="4">
        <f t="shared" si="8"/>
        <v>60</v>
      </c>
      <c r="H51" s="8">
        <v>2.2999999999999998</v>
      </c>
      <c r="I51" s="6">
        <v>1431</v>
      </c>
      <c r="J51" s="4">
        <f>SUMIFS('Quality Data'!$F$6:$F$1000,'Quality Data'!$A$6:$A$1000,A51,'Quality Data'!$B$6:$B$1000,B51,'Quality Data'!$C$6:$C$1000,C51,'Quality Data'!$D$6:$D$1000,D51)</f>
        <v>3</v>
      </c>
      <c r="K51" s="4">
        <f t="shared" si="9"/>
        <v>1428</v>
      </c>
      <c r="L51" s="4">
        <f>SUMIFS('Downtime Log'!$G$6:$G$1000,'Downtime Log'!$A$6:$A$1000,A51,'Downtime Log'!$B$6:$B$1000,B51,'Downtime Log'!$C$6:$C$1000,C51,'Downtime Log'!$D$6:$D$1000,D51)</f>
        <v>2</v>
      </c>
      <c r="M51" s="4">
        <f t="shared" si="10"/>
        <v>58</v>
      </c>
      <c r="N51" s="7">
        <f t="shared" si="11"/>
        <v>0.96666666666666667</v>
      </c>
      <c r="O51" s="7">
        <f t="shared" si="12"/>
        <v>0.94577586206896547</v>
      </c>
      <c r="P51" s="7">
        <f t="shared" si="13"/>
        <v>0.99790356394129975</v>
      </c>
      <c r="Q51" s="7">
        <f t="shared" si="14"/>
        <v>0.91233333333333333</v>
      </c>
      <c r="R51" s="4">
        <f t="shared" si="15"/>
        <v>3291.2999999999997</v>
      </c>
      <c r="S51" s="3" t="s">
        <v>81</v>
      </c>
    </row>
    <row r="52" spans="1:19" ht="19.95" customHeight="1">
      <c r="A52" s="5">
        <v>46301</v>
      </c>
      <c r="B52" s="3" t="s">
        <v>5</v>
      </c>
      <c r="C52" s="3" t="s">
        <v>7</v>
      </c>
      <c r="D52" s="3" t="s">
        <v>39</v>
      </c>
      <c r="E52" s="3">
        <v>60</v>
      </c>
      <c r="F52" s="3">
        <v>30</v>
      </c>
      <c r="G52" s="4">
        <f t="shared" si="8"/>
        <v>30</v>
      </c>
      <c r="H52" s="8">
        <v>2.2999999999999998</v>
      </c>
      <c r="I52" s="6">
        <v>534</v>
      </c>
      <c r="J52" s="4">
        <f>SUMIFS('Quality Data'!$F$6:$F$1000,'Quality Data'!$A$6:$A$1000,A52,'Quality Data'!$B$6:$B$1000,B52,'Quality Data'!$C$6:$C$1000,C52,'Quality Data'!$D$6:$D$1000,D52)</f>
        <v>5</v>
      </c>
      <c r="K52" s="4">
        <f t="shared" si="9"/>
        <v>529</v>
      </c>
      <c r="L52" s="4">
        <f>SUMIFS('Downtime Log'!$G$6:$G$1000,'Downtime Log'!$A$6:$A$1000,A52,'Downtime Log'!$B$6:$B$1000,B52,'Downtime Log'!$C$6:$C$1000,C52,'Downtime Log'!$D$6:$D$1000,D52)</f>
        <v>5</v>
      </c>
      <c r="M52" s="4">
        <f t="shared" si="10"/>
        <v>25</v>
      </c>
      <c r="N52" s="7">
        <f t="shared" si="11"/>
        <v>0.83333333333333337</v>
      </c>
      <c r="O52" s="7">
        <f t="shared" si="12"/>
        <v>0.81879999999999986</v>
      </c>
      <c r="P52" s="7">
        <f t="shared" si="13"/>
        <v>0.99063670411985016</v>
      </c>
      <c r="Q52" s="7">
        <f t="shared" si="14"/>
        <v>0.67594444444444435</v>
      </c>
      <c r="R52" s="4">
        <f t="shared" si="15"/>
        <v>1228.1999999999998</v>
      </c>
      <c r="S52" s="3" t="s">
        <v>81</v>
      </c>
    </row>
    <row r="53" spans="1:19" ht="19.95" customHeight="1">
      <c r="A53" s="5">
        <v>46301</v>
      </c>
      <c r="B53" s="3" t="s">
        <v>5</v>
      </c>
      <c r="C53" s="3" t="s">
        <v>7</v>
      </c>
      <c r="D53" s="3" t="s">
        <v>40</v>
      </c>
      <c r="E53" s="3">
        <v>60</v>
      </c>
      <c r="F53" s="3">
        <v>0</v>
      </c>
      <c r="G53" s="4">
        <f t="shared" si="8"/>
        <v>60</v>
      </c>
      <c r="H53" s="8">
        <v>2.2999999999999998</v>
      </c>
      <c r="I53" s="6">
        <v>1162</v>
      </c>
      <c r="J53" s="4">
        <f>SUMIFS('Quality Data'!$F$6:$F$1000,'Quality Data'!$A$6:$A$1000,A53,'Quality Data'!$B$6:$B$1000,B53,'Quality Data'!$C$6:$C$1000,C53,'Quality Data'!$D$6:$D$1000,D53)</f>
        <v>7</v>
      </c>
      <c r="K53" s="4">
        <f t="shared" si="9"/>
        <v>1155</v>
      </c>
      <c r="L53" s="4">
        <f>SUMIFS('Downtime Log'!$G$6:$G$1000,'Downtime Log'!$A$6:$A$1000,A53,'Downtime Log'!$B$6:$B$1000,B53,'Downtime Log'!$C$6:$C$1000,C53,'Downtime Log'!$D$6:$D$1000,D53)</f>
        <v>7</v>
      </c>
      <c r="M53" s="4">
        <f t="shared" si="10"/>
        <v>53</v>
      </c>
      <c r="N53" s="7">
        <f t="shared" si="11"/>
        <v>0.8833333333333333</v>
      </c>
      <c r="O53" s="7">
        <f t="shared" si="12"/>
        <v>0.84044025157232705</v>
      </c>
      <c r="P53" s="7">
        <f t="shared" si="13"/>
        <v>0.99397590361445787</v>
      </c>
      <c r="Q53" s="7">
        <f t="shared" si="14"/>
        <v>0.73791666666666667</v>
      </c>
      <c r="R53" s="4">
        <f t="shared" si="15"/>
        <v>2672.6</v>
      </c>
      <c r="S53" s="3" t="s">
        <v>81</v>
      </c>
    </row>
    <row r="54" spans="1:19" ht="19.95" customHeight="1">
      <c r="A54" s="5">
        <v>46302</v>
      </c>
      <c r="B54" s="3" t="s">
        <v>5</v>
      </c>
      <c r="C54" s="3" t="s">
        <v>7</v>
      </c>
      <c r="D54" s="3" t="s">
        <v>33</v>
      </c>
      <c r="E54" s="3">
        <v>60</v>
      </c>
      <c r="F54" s="3">
        <v>0</v>
      </c>
      <c r="G54" s="4">
        <f t="shared" si="8"/>
        <v>60</v>
      </c>
      <c r="H54" s="8">
        <v>2.2999999999999998</v>
      </c>
      <c r="I54" s="6">
        <v>1320</v>
      </c>
      <c r="J54" s="4">
        <f>SUMIFS('Quality Data'!$F$6:$F$1000,'Quality Data'!$A$6:$A$1000,A54,'Quality Data'!$B$6:$B$1000,B54,'Quality Data'!$C$6:$C$1000,C54,'Quality Data'!$D$6:$D$1000,D54)</f>
        <v>4</v>
      </c>
      <c r="K54" s="4">
        <f t="shared" si="9"/>
        <v>1316</v>
      </c>
      <c r="L54" s="4">
        <f>SUMIFS('Downtime Log'!$G$6:$G$1000,'Downtime Log'!$A$6:$A$1000,A54,'Downtime Log'!$B$6:$B$1000,B54,'Downtime Log'!$C$6:$C$1000,C54,'Downtime Log'!$D$6:$D$1000,D54)</f>
        <v>4</v>
      </c>
      <c r="M54" s="4">
        <f t="shared" si="10"/>
        <v>56</v>
      </c>
      <c r="N54" s="7">
        <f t="shared" si="11"/>
        <v>0.93333333333333335</v>
      </c>
      <c r="O54" s="7">
        <f t="shared" si="12"/>
        <v>0.90357142857142847</v>
      </c>
      <c r="P54" s="7">
        <f t="shared" si="13"/>
        <v>0.99696969696969695</v>
      </c>
      <c r="Q54" s="7">
        <f t="shared" si="14"/>
        <v>0.84077777777777774</v>
      </c>
      <c r="R54" s="4">
        <f t="shared" si="15"/>
        <v>3035.9999999999995</v>
      </c>
      <c r="S54" s="3" t="s">
        <v>81</v>
      </c>
    </row>
    <row r="55" spans="1:19" ht="19.95" customHeight="1">
      <c r="A55" s="5">
        <v>46302</v>
      </c>
      <c r="B55" s="3" t="s">
        <v>5</v>
      </c>
      <c r="C55" s="3" t="s">
        <v>7</v>
      </c>
      <c r="D55" s="3" t="s">
        <v>34</v>
      </c>
      <c r="E55" s="3">
        <v>60</v>
      </c>
      <c r="F55" s="3">
        <v>0</v>
      </c>
      <c r="G55" s="4">
        <f t="shared" si="8"/>
        <v>60</v>
      </c>
      <c r="H55" s="8">
        <v>2.2999999999999998</v>
      </c>
      <c r="I55" s="6">
        <v>1230</v>
      </c>
      <c r="J55" s="4">
        <f>SUMIFS('Quality Data'!$F$6:$F$1000,'Quality Data'!$A$6:$A$1000,A55,'Quality Data'!$B$6:$B$1000,B55,'Quality Data'!$C$6:$C$1000,C55,'Quality Data'!$D$6:$D$1000,D55)</f>
        <v>6</v>
      </c>
      <c r="K55" s="4">
        <f t="shared" si="9"/>
        <v>1224</v>
      </c>
      <c r="L55" s="4">
        <f>SUMIFS('Downtime Log'!$G$6:$G$1000,'Downtime Log'!$A$6:$A$1000,A55,'Downtime Log'!$B$6:$B$1000,B55,'Downtime Log'!$C$6:$C$1000,C55,'Downtime Log'!$D$6:$D$1000,D55)</f>
        <v>9</v>
      </c>
      <c r="M55" s="4">
        <f t="shared" si="10"/>
        <v>51</v>
      </c>
      <c r="N55" s="7">
        <f t="shared" si="11"/>
        <v>0.85</v>
      </c>
      <c r="O55" s="7">
        <f t="shared" si="12"/>
        <v>0.92450980392156867</v>
      </c>
      <c r="P55" s="7">
        <f t="shared" si="13"/>
        <v>0.99512195121951219</v>
      </c>
      <c r="Q55" s="7">
        <f t="shared" si="14"/>
        <v>0.78200000000000003</v>
      </c>
      <c r="R55" s="4">
        <f t="shared" si="15"/>
        <v>2829</v>
      </c>
      <c r="S55" s="3" t="s">
        <v>81</v>
      </c>
    </row>
    <row r="56" spans="1:19" ht="19.95" customHeight="1">
      <c r="A56" s="5">
        <v>46302</v>
      </c>
      <c r="B56" s="3" t="s">
        <v>5</v>
      </c>
      <c r="C56" s="3" t="s">
        <v>7</v>
      </c>
      <c r="D56" s="3" t="s">
        <v>35</v>
      </c>
      <c r="E56" s="3">
        <v>60</v>
      </c>
      <c r="F56" s="3">
        <v>0</v>
      </c>
      <c r="G56" s="4">
        <f t="shared" si="8"/>
        <v>60</v>
      </c>
      <c r="H56" s="8">
        <v>2.2999999999999998</v>
      </c>
      <c r="I56" s="6">
        <v>1357</v>
      </c>
      <c r="J56" s="4">
        <f>SUMIFS('Quality Data'!$F$6:$F$1000,'Quality Data'!$A$6:$A$1000,A56,'Quality Data'!$B$6:$B$1000,B56,'Quality Data'!$C$6:$C$1000,C56,'Quality Data'!$D$6:$D$1000,D56)</f>
        <v>8</v>
      </c>
      <c r="K56" s="4">
        <f t="shared" si="9"/>
        <v>1349</v>
      </c>
      <c r="L56" s="4">
        <f>SUMIFS('Downtime Log'!$G$6:$G$1000,'Downtime Log'!$A$6:$A$1000,A56,'Downtime Log'!$B$6:$B$1000,B56,'Downtime Log'!$C$6:$C$1000,C56,'Downtime Log'!$D$6:$D$1000,D56)</f>
        <v>5</v>
      </c>
      <c r="M56" s="4">
        <f t="shared" si="10"/>
        <v>55</v>
      </c>
      <c r="N56" s="7">
        <f t="shared" si="11"/>
        <v>0.91666666666666663</v>
      </c>
      <c r="O56" s="7">
        <f t="shared" si="12"/>
        <v>0.94578787878787873</v>
      </c>
      <c r="P56" s="7">
        <f t="shared" si="13"/>
        <v>0.99410464259395726</v>
      </c>
      <c r="Q56" s="7">
        <f t="shared" si="14"/>
        <v>0.86186111111111108</v>
      </c>
      <c r="R56" s="4">
        <f t="shared" si="15"/>
        <v>3121.1</v>
      </c>
      <c r="S56" s="3" t="s">
        <v>81</v>
      </c>
    </row>
    <row r="57" spans="1:19" ht="19.95" customHeight="1">
      <c r="A57" s="5">
        <v>46302</v>
      </c>
      <c r="B57" s="3" t="s">
        <v>5</v>
      </c>
      <c r="C57" s="3" t="s">
        <v>7</v>
      </c>
      <c r="D57" s="3" t="s">
        <v>36</v>
      </c>
      <c r="E57" s="3">
        <v>60</v>
      </c>
      <c r="F57" s="3">
        <v>0</v>
      </c>
      <c r="G57" s="4">
        <f t="shared" si="8"/>
        <v>60</v>
      </c>
      <c r="H57" s="8">
        <v>2.2999999999999998</v>
      </c>
      <c r="I57" s="6">
        <v>1090</v>
      </c>
      <c r="J57" s="4">
        <f>SUMIFS('Quality Data'!$F$6:$F$1000,'Quality Data'!$A$6:$A$1000,A57,'Quality Data'!$B$6:$B$1000,B57,'Quality Data'!$C$6:$C$1000,C57,'Quality Data'!$D$6:$D$1000,D57)</f>
        <v>2</v>
      </c>
      <c r="K57" s="4">
        <f t="shared" si="9"/>
        <v>1088</v>
      </c>
      <c r="L57" s="4">
        <f>SUMIFS('Downtime Log'!$G$6:$G$1000,'Downtime Log'!$A$6:$A$1000,A57,'Downtime Log'!$B$6:$B$1000,B57,'Downtime Log'!$C$6:$C$1000,C57,'Downtime Log'!$D$6:$D$1000,D57)</f>
        <v>9</v>
      </c>
      <c r="M57" s="4">
        <f t="shared" si="10"/>
        <v>51</v>
      </c>
      <c r="N57" s="7">
        <f t="shared" si="11"/>
        <v>0.85</v>
      </c>
      <c r="O57" s="7">
        <f t="shared" si="12"/>
        <v>0.81928104575163396</v>
      </c>
      <c r="P57" s="7">
        <f t="shared" si="13"/>
        <v>0.99816513761467895</v>
      </c>
      <c r="Q57" s="7">
        <f t="shared" si="14"/>
        <v>0.69511111111111112</v>
      </c>
      <c r="R57" s="4">
        <f t="shared" si="15"/>
        <v>2507</v>
      </c>
      <c r="S57" s="3" t="s">
        <v>81</v>
      </c>
    </row>
    <row r="58" spans="1:19" ht="19.95" customHeight="1">
      <c r="A58" s="5">
        <v>46302</v>
      </c>
      <c r="B58" s="3" t="s">
        <v>5</v>
      </c>
      <c r="C58" s="3" t="s">
        <v>7</v>
      </c>
      <c r="D58" s="3" t="s">
        <v>37</v>
      </c>
      <c r="E58" s="3">
        <v>60</v>
      </c>
      <c r="F58" s="3">
        <v>0</v>
      </c>
      <c r="G58" s="4">
        <f t="shared" si="8"/>
        <v>60</v>
      </c>
      <c r="H58" s="8">
        <v>2.2999999999999998</v>
      </c>
      <c r="I58" s="6">
        <v>1184</v>
      </c>
      <c r="J58" s="4">
        <f>SUMIFS('Quality Data'!$F$6:$F$1000,'Quality Data'!$A$6:$A$1000,A58,'Quality Data'!$B$6:$B$1000,B58,'Quality Data'!$C$6:$C$1000,C58,'Quality Data'!$D$6:$D$1000,D58)</f>
        <v>4</v>
      </c>
      <c r="K58" s="4">
        <f t="shared" si="9"/>
        <v>1180</v>
      </c>
      <c r="L58" s="4">
        <f>SUMIFS('Downtime Log'!$G$6:$G$1000,'Downtime Log'!$A$6:$A$1000,A58,'Downtime Log'!$B$6:$B$1000,B58,'Downtime Log'!$C$6:$C$1000,C58,'Downtime Log'!$D$6:$D$1000,D58)</f>
        <v>6</v>
      </c>
      <c r="M58" s="4">
        <f t="shared" si="10"/>
        <v>54</v>
      </c>
      <c r="N58" s="7">
        <f t="shared" si="11"/>
        <v>0.9</v>
      </c>
      <c r="O58" s="7">
        <f t="shared" si="12"/>
        <v>0.84049382716049381</v>
      </c>
      <c r="P58" s="7">
        <f t="shared" si="13"/>
        <v>0.9966216216216216</v>
      </c>
      <c r="Q58" s="7">
        <f t="shared" si="14"/>
        <v>0.75388888888888894</v>
      </c>
      <c r="R58" s="4">
        <f t="shared" si="15"/>
        <v>2723.2</v>
      </c>
      <c r="S58" s="3" t="s">
        <v>81</v>
      </c>
    </row>
    <row r="59" spans="1:19" ht="19.95" customHeight="1">
      <c r="A59" s="5">
        <v>46302</v>
      </c>
      <c r="B59" s="3" t="s">
        <v>5</v>
      </c>
      <c r="C59" s="3" t="s">
        <v>7</v>
      </c>
      <c r="D59" s="3" t="s">
        <v>38</v>
      </c>
      <c r="E59" s="3">
        <v>60</v>
      </c>
      <c r="F59" s="3">
        <v>0</v>
      </c>
      <c r="G59" s="4">
        <f t="shared" si="8"/>
        <v>60</v>
      </c>
      <c r="H59" s="8">
        <v>2.2999999999999998</v>
      </c>
      <c r="I59" s="6">
        <v>1281</v>
      </c>
      <c r="J59" s="4">
        <f>SUMIFS('Quality Data'!$F$6:$F$1000,'Quality Data'!$A$6:$A$1000,A59,'Quality Data'!$B$6:$B$1000,B59,'Quality Data'!$C$6:$C$1000,C59,'Quality Data'!$D$6:$D$1000,D59)</f>
        <v>6</v>
      </c>
      <c r="K59" s="4">
        <f t="shared" si="9"/>
        <v>1275</v>
      </c>
      <c r="L59" s="4">
        <f>SUMIFS('Downtime Log'!$G$6:$G$1000,'Downtime Log'!$A$6:$A$1000,A59,'Downtime Log'!$B$6:$B$1000,B59,'Downtime Log'!$C$6:$C$1000,C59,'Downtime Log'!$D$6:$D$1000,D59)</f>
        <v>3</v>
      </c>
      <c r="M59" s="4">
        <f t="shared" si="10"/>
        <v>57</v>
      </c>
      <c r="N59" s="7">
        <f t="shared" si="11"/>
        <v>0.95</v>
      </c>
      <c r="O59" s="7">
        <f t="shared" si="12"/>
        <v>0.86149122807017531</v>
      </c>
      <c r="P59" s="7">
        <f t="shared" si="13"/>
        <v>0.99531615925058547</v>
      </c>
      <c r="Q59" s="7">
        <f t="shared" si="14"/>
        <v>0.8145833333333331</v>
      </c>
      <c r="R59" s="4">
        <f t="shared" si="15"/>
        <v>2946.2999999999997</v>
      </c>
      <c r="S59" s="3" t="s">
        <v>81</v>
      </c>
    </row>
    <row r="60" spans="1:19" ht="19.95" customHeight="1">
      <c r="A60" s="5">
        <v>46302</v>
      </c>
      <c r="B60" s="3" t="s">
        <v>5</v>
      </c>
      <c r="C60" s="3" t="s">
        <v>7</v>
      </c>
      <c r="D60" s="3" t="s">
        <v>39</v>
      </c>
      <c r="E60" s="3">
        <v>60</v>
      </c>
      <c r="F60" s="3">
        <v>30</v>
      </c>
      <c r="G60" s="4">
        <f t="shared" si="8"/>
        <v>30</v>
      </c>
      <c r="H60" s="8">
        <v>2.2999999999999998</v>
      </c>
      <c r="I60" s="6">
        <v>621</v>
      </c>
      <c r="J60" s="4">
        <f>SUMIFS('Quality Data'!$F$6:$F$1000,'Quality Data'!$A$6:$A$1000,A60,'Quality Data'!$B$6:$B$1000,B60,'Quality Data'!$C$6:$C$1000,C60,'Quality Data'!$D$6:$D$1000,D60)</f>
        <v>8</v>
      </c>
      <c r="K60" s="4">
        <f t="shared" si="9"/>
        <v>613</v>
      </c>
      <c r="L60" s="4">
        <f>SUMIFS('Downtime Log'!$G$6:$G$1000,'Downtime Log'!$A$6:$A$1000,A60,'Downtime Log'!$B$6:$B$1000,B60,'Downtime Log'!$C$6:$C$1000,C60,'Downtime Log'!$D$6:$D$1000,D60)</f>
        <v>3</v>
      </c>
      <c r="M60" s="4">
        <f t="shared" si="10"/>
        <v>27</v>
      </c>
      <c r="N60" s="7">
        <f t="shared" si="11"/>
        <v>0.9</v>
      </c>
      <c r="O60" s="7">
        <f t="shared" si="12"/>
        <v>0.8816666666666666</v>
      </c>
      <c r="P60" s="7">
        <f t="shared" si="13"/>
        <v>0.98711755233494369</v>
      </c>
      <c r="Q60" s="7">
        <f t="shared" si="14"/>
        <v>0.78327777777777785</v>
      </c>
      <c r="R60" s="4">
        <f t="shared" si="15"/>
        <v>1428.3</v>
      </c>
      <c r="S60" s="3" t="s">
        <v>81</v>
      </c>
    </row>
    <row r="61" spans="1:19" ht="19.95" customHeight="1">
      <c r="A61" s="5">
        <v>46302</v>
      </c>
      <c r="B61" s="3" t="s">
        <v>5</v>
      </c>
      <c r="C61" s="3" t="s">
        <v>7</v>
      </c>
      <c r="D61" s="3" t="s">
        <v>40</v>
      </c>
      <c r="E61" s="3">
        <v>60</v>
      </c>
      <c r="F61" s="3">
        <v>0</v>
      </c>
      <c r="G61" s="4">
        <f t="shared" si="8"/>
        <v>60</v>
      </c>
      <c r="H61" s="8">
        <v>2.2999999999999998</v>
      </c>
      <c r="I61" s="6">
        <v>1226</v>
      </c>
      <c r="J61" s="4">
        <f>SUMIFS('Quality Data'!$F$6:$F$1000,'Quality Data'!$A$6:$A$1000,A61,'Quality Data'!$B$6:$B$1000,B61,'Quality Data'!$C$6:$C$1000,C61,'Quality Data'!$D$6:$D$1000,D61)</f>
        <v>2</v>
      </c>
      <c r="K61" s="4">
        <f t="shared" si="9"/>
        <v>1224</v>
      </c>
      <c r="L61" s="4">
        <f>SUMIFS('Downtime Log'!$G$6:$G$1000,'Downtime Log'!$A$6:$A$1000,A61,'Downtime Log'!$B$6:$B$1000,B61,'Downtime Log'!$C$6:$C$1000,C61,'Downtime Log'!$D$6:$D$1000,D61)</f>
        <v>8</v>
      </c>
      <c r="M61" s="4">
        <f t="shared" si="10"/>
        <v>52</v>
      </c>
      <c r="N61" s="7">
        <f t="shared" si="11"/>
        <v>0.8666666666666667</v>
      </c>
      <c r="O61" s="7">
        <f t="shared" si="12"/>
        <v>0.90378205128205125</v>
      </c>
      <c r="P61" s="7">
        <f t="shared" si="13"/>
        <v>0.99836867862969003</v>
      </c>
      <c r="Q61" s="7">
        <f t="shared" si="14"/>
        <v>0.78199999999999992</v>
      </c>
      <c r="R61" s="4">
        <f t="shared" si="15"/>
        <v>2819.7999999999997</v>
      </c>
      <c r="S61" s="3" t="s">
        <v>81</v>
      </c>
    </row>
  </sheetData>
  <mergeCells count="2">
    <mergeCell ref="A1:S2"/>
    <mergeCell ref="A3:S3"/>
  </mergeCells>
  <conditionalFormatting sqref="J6:J61">
    <cfRule type="cellIs" dxfId="1" priority="2" operator="greaterThan">
      <formula>1000000</formula>
    </cfRule>
  </conditionalFormatting>
  <conditionalFormatting sqref="O6:O61">
    <cfRule type="cellIs" dxfId="0" priority="1" operator="greaterThan">
      <formula>1</formula>
    </cfRule>
  </conditionalFormatting>
  <dataValidations count="1">
    <dataValidation type="list" sqref="B6:B500" xr:uid="{00000000-0002-0000-0100-000000000000}">
      <formula1>"Ca 1,Ca 2,Ca 3"</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1"/>
  <sheetViews>
    <sheetView workbookViewId="0">
      <pane ySplit="5" topLeftCell="A6" activePane="bottomLeft" state="frozen"/>
      <selection pane="bottomLeft" sqref="A1:J2"/>
    </sheetView>
  </sheetViews>
  <sheetFormatPr defaultRowHeight="13.8"/>
  <cols>
    <col min="1" max="1" width="16" customWidth="1"/>
    <col min="2" max="2" width="11" customWidth="1"/>
    <col min="3" max="3" width="13" customWidth="1"/>
    <col min="4" max="4" width="21" customWidth="1"/>
    <col min="5" max="5" width="18" customWidth="1"/>
    <col min="6" max="6" width="29" customWidth="1"/>
    <col min="7" max="7" width="17" customWidth="1"/>
    <col min="8" max="8" width="36" customWidth="1"/>
    <col min="9" max="9" width="20" customWidth="1"/>
    <col min="10" max="10" width="22" customWidth="1"/>
  </cols>
  <sheetData>
    <row r="1" spans="1:10" ht="24" customHeight="1">
      <c r="A1" s="24" t="s">
        <v>82</v>
      </c>
      <c r="B1" s="24"/>
      <c r="C1" s="24"/>
      <c r="D1" s="24"/>
      <c r="E1" s="24"/>
      <c r="F1" s="24"/>
      <c r="G1" s="24"/>
      <c r="H1" s="24"/>
      <c r="I1" s="24"/>
      <c r="J1" s="24"/>
    </row>
    <row r="2" spans="1:10" ht="24" customHeight="1">
      <c r="A2" s="24"/>
      <c r="B2" s="24"/>
      <c r="C2" s="24"/>
      <c r="D2" s="24"/>
      <c r="E2" s="24"/>
      <c r="F2" s="24"/>
      <c r="G2" s="24"/>
      <c r="H2" s="24"/>
      <c r="I2" s="24"/>
      <c r="J2" s="24"/>
    </row>
    <row r="3" spans="1:10" ht="24" customHeight="1">
      <c r="A3" s="25" t="s">
        <v>83</v>
      </c>
      <c r="B3" s="25"/>
      <c r="C3" s="25"/>
      <c r="D3" s="25"/>
      <c r="E3" s="25"/>
      <c r="F3" s="25"/>
      <c r="G3" s="25"/>
      <c r="H3" s="25"/>
      <c r="I3" s="25"/>
      <c r="J3" s="25"/>
    </row>
    <row r="5" spans="1:10" ht="37.950000000000003" customHeight="1">
      <c r="A5" s="2" t="s">
        <v>66</v>
      </c>
      <c r="B5" s="2" t="s">
        <v>67</v>
      </c>
      <c r="C5" s="2" t="s">
        <v>68</v>
      </c>
      <c r="D5" s="2" t="s">
        <v>69</v>
      </c>
      <c r="E5" s="2" t="s">
        <v>84</v>
      </c>
      <c r="F5" s="2" t="s">
        <v>85</v>
      </c>
      <c r="G5" s="2" t="s">
        <v>86</v>
      </c>
      <c r="H5" s="2" t="s">
        <v>87</v>
      </c>
      <c r="I5" s="2" t="s">
        <v>59</v>
      </c>
      <c r="J5" s="2" t="s">
        <v>80</v>
      </c>
    </row>
    <row r="6" spans="1:10" ht="19.95" customHeight="1">
      <c r="A6" s="5">
        <v>46296</v>
      </c>
      <c r="B6" s="3" t="s">
        <v>5</v>
      </c>
      <c r="C6" s="3" t="s">
        <v>7</v>
      </c>
      <c r="D6" s="3" t="s">
        <v>33</v>
      </c>
      <c r="E6" s="3" t="s">
        <v>88</v>
      </c>
      <c r="F6" s="3" t="s">
        <v>89</v>
      </c>
      <c r="G6" s="6">
        <v>4</v>
      </c>
      <c r="H6" s="3" t="s">
        <v>90</v>
      </c>
      <c r="I6" s="3" t="s">
        <v>91</v>
      </c>
      <c r="J6" s="3" t="s">
        <v>81</v>
      </c>
    </row>
    <row r="7" spans="1:10" ht="19.95" customHeight="1">
      <c r="A7" s="5">
        <v>46296</v>
      </c>
      <c r="B7" s="3" t="s">
        <v>5</v>
      </c>
      <c r="C7" s="3" t="s">
        <v>7</v>
      </c>
      <c r="D7" s="3" t="s">
        <v>34</v>
      </c>
      <c r="E7" s="3" t="s">
        <v>92</v>
      </c>
      <c r="F7" s="3" t="s">
        <v>93</v>
      </c>
      <c r="G7" s="6">
        <v>9</v>
      </c>
      <c r="H7" s="3" t="s">
        <v>90</v>
      </c>
      <c r="I7" s="3" t="s">
        <v>91</v>
      </c>
      <c r="J7" s="3" t="s">
        <v>81</v>
      </c>
    </row>
    <row r="8" spans="1:10" ht="19.95" customHeight="1">
      <c r="A8" s="5">
        <v>46296</v>
      </c>
      <c r="B8" s="3" t="s">
        <v>5</v>
      </c>
      <c r="C8" s="3" t="s">
        <v>7</v>
      </c>
      <c r="D8" s="3" t="s">
        <v>35</v>
      </c>
      <c r="E8" s="3" t="s">
        <v>94</v>
      </c>
      <c r="F8" s="3" t="s">
        <v>95</v>
      </c>
      <c r="G8" s="6">
        <v>5</v>
      </c>
      <c r="H8" s="3" t="s">
        <v>90</v>
      </c>
      <c r="I8" s="3" t="s">
        <v>91</v>
      </c>
      <c r="J8" s="3" t="s">
        <v>81</v>
      </c>
    </row>
    <row r="9" spans="1:10" ht="19.95" customHeight="1">
      <c r="A9" s="5">
        <v>46296</v>
      </c>
      <c r="B9" s="3" t="s">
        <v>5</v>
      </c>
      <c r="C9" s="3" t="s">
        <v>7</v>
      </c>
      <c r="D9" s="3" t="s">
        <v>36</v>
      </c>
      <c r="E9" s="3" t="s">
        <v>96</v>
      </c>
      <c r="F9" s="3" t="s">
        <v>97</v>
      </c>
      <c r="G9" s="6">
        <v>9</v>
      </c>
      <c r="H9" s="3" t="s">
        <v>90</v>
      </c>
      <c r="I9" s="3" t="s">
        <v>91</v>
      </c>
      <c r="J9" s="3" t="s">
        <v>81</v>
      </c>
    </row>
    <row r="10" spans="1:10" ht="19.95" customHeight="1">
      <c r="A10" s="5">
        <v>46296</v>
      </c>
      <c r="B10" s="3" t="s">
        <v>5</v>
      </c>
      <c r="C10" s="3" t="s">
        <v>7</v>
      </c>
      <c r="D10" s="3" t="s">
        <v>37</v>
      </c>
      <c r="E10" s="3" t="s">
        <v>98</v>
      </c>
      <c r="F10" s="3" t="s">
        <v>99</v>
      </c>
      <c r="G10" s="6">
        <v>6</v>
      </c>
      <c r="H10" s="3" t="s">
        <v>90</v>
      </c>
      <c r="I10" s="3" t="s">
        <v>91</v>
      </c>
      <c r="J10" s="3" t="s">
        <v>81</v>
      </c>
    </row>
    <row r="11" spans="1:10" ht="19.95" customHeight="1">
      <c r="A11" s="5">
        <v>46296</v>
      </c>
      <c r="B11" s="3" t="s">
        <v>5</v>
      </c>
      <c r="C11" s="3" t="s">
        <v>7</v>
      </c>
      <c r="D11" s="3" t="s">
        <v>38</v>
      </c>
      <c r="E11" s="3" t="s">
        <v>88</v>
      </c>
      <c r="F11" s="3" t="s">
        <v>89</v>
      </c>
      <c r="G11" s="6">
        <v>3</v>
      </c>
      <c r="H11" s="3" t="s">
        <v>90</v>
      </c>
      <c r="I11" s="3" t="s">
        <v>91</v>
      </c>
      <c r="J11" s="3" t="s">
        <v>81</v>
      </c>
    </row>
    <row r="12" spans="1:10" ht="19.95" customHeight="1">
      <c r="A12" s="5">
        <v>46296</v>
      </c>
      <c r="B12" s="3" t="s">
        <v>5</v>
      </c>
      <c r="C12" s="3" t="s">
        <v>7</v>
      </c>
      <c r="D12" s="3" t="s">
        <v>39</v>
      </c>
      <c r="E12" s="3" t="s">
        <v>94</v>
      </c>
      <c r="F12" s="3" t="s">
        <v>95</v>
      </c>
      <c r="G12" s="6">
        <v>3</v>
      </c>
      <c r="H12" s="3" t="s">
        <v>90</v>
      </c>
      <c r="I12" s="3" t="s">
        <v>91</v>
      </c>
      <c r="J12" s="3" t="s">
        <v>81</v>
      </c>
    </row>
    <row r="13" spans="1:10" ht="19.95" customHeight="1">
      <c r="A13" s="5">
        <v>46296</v>
      </c>
      <c r="B13" s="3" t="s">
        <v>5</v>
      </c>
      <c r="C13" s="3" t="s">
        <v>7</v>
      </c>
      <c r="D13" s="3" t="s">
        <v>40</v>
      </c>
      <c r="E13" s="3" t="s">
        <v>96</v>
      </c>
      <c r="F13" s="3" t="s">
        <v>97</v>
      </c>
      <c r="G13" s="6">
        <v>8</v>
      </c>
      <c r="H13" s="3" t="s">
        <v>90</v>
      </c>
      <c r="I13" s="3" t="s">
        <v>91</v>
      </c>
      <c r="J13" s="3" t="s">
        <v>81</v>
      </c>
    </row>
    <row r="14" spans="1:10" ht="19.95" customHeight="1">
      <c r="A14" s="5">
        <v>46297</v>
      </c>
      <c r="B14" s="3" t="s">
        <v>5</v>
      </c>
      <c r="C14" s="3" t="s">
        <v>7</v>
      </c>
      <c r="D14" s="3" t="s">
        <v>33</v>
      </c>
      <c r="E14" s="3" t="s">
        <v>92</v>
      </c>
      <c r="F14" s="3" t="s">
        <v>93</v>
      </c>
      <c r="G14" s="6">
        <v>5</v>
      </c>
      <c r="H14" s="3" t="s">
        <v>90</v>
      </c>
      <c r="I14" s="3" t="s">
        <v>91</v>
      </c>
      <c r="J14" s="3" t="s">
        <v>81</v>
      </c>
    </row>
    <row r="15" spans="1:10" ht="19.95" customHeight="1">
      <c r="A15" s="5">
        <v>46297</v>
      </c>
      <c r="B15" s="3" t="s">
        <v>5</v>
      </c>
      <c r="C15" s="3" t="s">
        <v>7</v>
      </c>
      <c r="D15" s="3" t="s">
        <v>34</v>
      </c>
      <c r="E15" s="3" t="s">
        <v>94</v>
      </c>
      <c r="F15" s="3" t="s">
        <v>95</v>
      </c>
      <c r="G15" s="6">
        <v>10</v>
      </c>
      <c r="H15" s="3" t="s">
        <v>90</v>
      </c>
      <c r="I15" s="3" t="s">
        <v>91</v>
      </c>
      <c r="J15" s="3" t="s">
        <v>81</v>
      </c>
    </row>
    <row r="16" spans="1:10" ht="19.95" customHeight="1">
      <c r="A16" s="5">
        <v>46297</v>
      </c>
      <c r="B16" s="3" t="s">
        <v>5</v>
      </c>
      <c r="C16" s="3" t="s">
        <v>7</v>
      </c>
      <c r="D16" s="3" t="s">
        <v>35</v>
      </c>
      <c r="E16" s="3" t="s">
        <v>96</v>
      </c>
      <c r="F16" s="3" t="s">
        <v>97</v>
      </c>
      <c r="G16" s="6">
        <v>3</v>
      </c>
      <c r="H16" s="3" t="s">
        <v>90</v>
      </c>
      <c r="I16" s="3" t="s">
        <v>91</v>
      </c>
      <c r="J16" s="3" t="s">
        <v>81</v>
      </c>
    </row>
    <row r="17" spans="1:10" ht="19.95" customHeight="1">
      <c r="A17" s="5">
        <v>46297</v>
      </c>
      <c r="B17" s="3" t="s">
        <v>5</v>
      </c>
      <c r="C17" s="3" t="s">
        <v>7</v>
      </c>
      <c r="D17" s="3" t="s">
        <v>36</v>
      </c>
      <c r="E17" s="3" t="s">
        <v>98</v>
      </c>
      <c r="F17" s="3" t="s">
        <v>99</v>
      </c>
      <c r="G17" s="6">
        <v>10</v>
      </c>
      <c r="H17" s="3" t="s">
        <v>90</v>
      </c>
      <c r="I17" s="3" t="s">
        <v>91</v>
      </c>
      <c r="J17" s="3" t="s">
        <v>81</v>
      </c>
    </row>
    <row r="18" spans="1:10" ht="19.95" customHeight="1">
      <c r="A18" s="5">
        <v>46297</v>
      </c>
      <c r="B18" s="3" t="s">
        <v>5</v>
      </c>
      <c r="C18" s="3" t="s">
        <v>7</v>
      </c>
      <c r="D18" s="3" t="s">
        <v>37</v>
      </c>
      <c r="E18" s="3" t="s">
        <v>88</v>
      </c>
      <c r="F18" s="3" t="s">
        <v>89</v>
      </c>
      <c r="G18" s="6">
        <v>7</v>
      </c>
      <c r="H18" s="3" t="s">
        <v>90</v>
      </c>
      <c r="I18" s="3" t="s">
        <v>91</v>
      </c>
      <c r="J18" s="3" t="s">
        <v>81</v>
      </c>
    </row>
    <row r="19" spans="1:10" ht="19.95" customHeight="1">
      <c r="A19" s="5">
        <v>46297</v>
      </c>
      <c r="B19" s="3" t="s">
        <v>5</v>
      </c>
      <c r="C19" s="3" t="s">
        <v>7</v>
      </c>
      <c r="D19" s="3" t="s">
        <v>38</v>
      </c>
      <c r="E19" s="3" t="s">
        <v>94</v>
      </c>
      <c r="F19" s="3" t="s">
        <v>95</v>
      </c>
      <c r="G19" s="6">
        <v>1</v>
      </c>
      <c r="H19" s="3" t="s">
        <v>90</v>
      </c>
      <c r="I19" s="3" t="s">
        <v>91</v>
      </c>
      <c r="J19" s="3" t="s">
        <v>81</v>
      </c>
    </row>
    <row r="20" spans="1:10" ht="19.95" customHeight="1">
      <c r="A20" s="5">
        <v>46297</v>
      </c>
      <c r="B20" s="3" t="s">
        <v>5</v>
      </c>
      <c r="C20" s="3" t="s">
        <v>7</v>
      </c>
      <c r="D20" s="3" t="s">
        <v>39</v>
      </c>
      <c r="E20" s="3" t="s">
        <v>96</v>
      </c>
      <c r="F20" s="3" t="s">
        <v>97</v>
      </c>
      <c r="G20" s="6">
        <v>4</v>
      </c>
      <c r="H20" s="3" t="s">
        <v>90</v>
      </c>
      <c r="I20" s="3" t="s">
        <v>91</v>
      </c>
      <c r="J20" s="3" t="s">
        <v>81</v>
      </c>
    </row>
    <row r="21" spans="1:10" ht="19.95" customHeight="1">
      <c r="A21" s="5">
        <v>46297</v>
      </c>
      <c r="B21" s="3" t="s">
        <v>5</v>
      </c>
      <c r="C21" s="3" t="s">
        <v>7</v>
      </c>
      <c r="D21" s="3" t="s">
        <v>40</v>
      </c>
      <c r="E21" s="3" t="s">
        <v>88</v>
      </c>
      <c r="F21" s="3" t="s">
        <v>89</v>
      </c>
      <c r="G21" s="6">
        <v>9</v>
      </c>
      <c r="H21" s="3" t="s">
        <v>90</v>
      </c>
      <c r="I21" s="3" t="s">
        <v>91</v>
      </c>
      <c r="J21" s="3" t="s">
        <v>81</v>
      </c>
    </row>
    <row r="22" spans="1:10" ht="19.95" customHeight="1">
      <c r="A22" s="5">
        <v>46298</v>
      </c>
      <c r="B22" s="3" t="s">
        <v>5</v>
      </c>
      <c r="C22" s="3" t="s">
        <v>7</v>
      </c>
      <c r="D22" s="3" t="s">
        <v>33</v>
      </c>
      <c r="E22" s="3" t="s">
        <v>94</v>
      </c>
      <c r="F22" s="3" t="s">
        <v>95</v>
      </c>
      <c r="G22" s="6">
        <v>6</v>
      </c>
      <c r="H22" s="3" t="s">
        <v>90</v>
      </c>
      <c r="I22" s="3" t="s">
        <v>91</v>
      </c>
      <c r="J22" s="3" t="s">
        <v>81</v>
      </c>
    </row>
    <row r="23" spans="1:10" ht="19.95" customHeight="1">
      <c r="A23" s="5">
        <v>46298</v>
      </c>
      <c r="B23" s="3" t="s">
        <v>5</v>
      </c>
      <c r="C23" s="3" t="s">
        <v>7</v>
      </c>
      <c r="D23" s="3" t="s">
        <v>34</v>
      </c>
      <c r="E23" s="3" t="s">
        <v>96</v>
      </c>
      <c r="F23" s="3" t="s">
        <v>97</v>
      </c>
      <c r="G23" s="6">
        <v>8</v>
      </c>
      <c r="H23" s="3" t="s">
        <v>90</v>
      </c>
      <c r="I23" s="3" t="s">
        <v>91</v>
      </c>
      <c r="J23" s="3" t="s">
        <v>81</v>
      </c>
    </row>
    <row r="24" spans="1:10" ht="19.95" customHeight="1">
      <c r="A24" s="5">
        <v>46298</v>
      </c>
      <c r="B24" s="3" t="s">
        <v>5</v>
      </c>
      <c r="C24" s="3" t="s">
        <v>7</v>
      </c>
      <c r="D24" s="3" t="s">
        <v>35</v>
      </c>
      <c r="E24" s="3" t="s">
        <v>98</v>
      </c>
      <c r="F24" s="3" t="s">
        <v>99</v>
      </c>
      <c r="G24" s="6">
        <v>4</v>
      </c>
      <c r="H24" s="3" t="s">
        <v>90</v>
      </c>
      <c r="I24" s="3" t="s">
        <v>91</v>
      </c>
      <c r="J24" s="3" t="s">
        <v>81</v>
      </c>
    </row>
    <row r="25" spans="1:10" ht="19.95" customHeight="1">
      <c r="A25" s="5">
        <v>46298</v>
      </c>
      <c r="B25" s="3" t="s">
        <v>5</v>
      </c>
      <c r="C25" s="3" t="s">
        <v>7</v>
      </c>
      <c r="D25" s="3" t="s">
        <v>36</v>
      </c>
      <c r="E25" s="3" t="s">
        <v>88</v>
      </c>
      <c r="F25" s="3" t="s">
        <v>89</v>
      </c>
      <c r="G25" s="6">
        <v>11</v>
      </c>
      <c r="H25" s="3" t="s">
        <v>90</v>
      </c>
      <c r="I25" s="3" t="s">
        <v>91</v>
      </c>
      <c r="J25" s="3" t="s">
        <v>81</v>
      </c>
    </row>
    <row r="26" spans="1:10" ht="19.95" customHeight="1">
      <c r="A26" s="5">
        <v>46298</v>
      </c>
      <c r="B26" s="3" t="s">
        <v>5</v>
      </c>
      <c r="C26" s="3" t="s">
        <v>7</v>
      </c>
      <c r="D26" s="3" t="s">
        <v>37</v>
      </c>
      <c r="E26" s="3" t="s">
        <v>94</v>
      </c>
      <c r="F26" s="3" t="s">
        <v>95</v>
      </c>
      <c r="G26" s="6">
        <v>5</v>
      </c>
      <c r="H26" s="3" t="s">
        <v>90</v>
      </c>
      <c r="I26" s="3" t="s">
        <v>91</v>
      </c>
      <c r="J26" s="3" t="s">
        <v>81</v>
      </c>
    </row>
    <row r="27" spans="1:10" ht="19.95" customHeight="1">
      <c r="A27" s="5">
        <v>46298</v>
      </c>
      <c r="B27" s="3" t="s">
        <v>5</v>
      </c>
      <c r="C27" s="3" t="s">
        <v>7</v>
      </c>
      <c r="D27" s="3" t="s">
        <v>38</v>
      </c>
      <c r="E27" s="3" t="s">
        <v>96</v>
      </c>
      <c r="F27" s="3" t="s">
        <v>97</v>
      </c>
      <c r="G27" s="6">
        <v>2</v>
      </c>
      <c r="H27" s="3" t="s">
        <v>90</v>
      </c>
      <c r="I27" s="3" t="s">
        <v>91</v>
      </c>
      <c r="J27" s="3" t="s">
        <v>81</v>
      </c>
    </row>
    <row r="28" spans="1:10" ht="19.95" customHeight="1">
      <c r="A28" s="5">
        <v>46298</v>
      </c>
      <c r="B28" s="3" t="s">
        <v>5</v>
      </c>
      <c r="C28" s="3" t="s">
        <v>7</v>
      </c>
      <c r="D28" s="3" t="s">
        <v>39</v>
      </c>
      <c r="E28" s="3" t="s">
        <v>88</v>
      </c>
      <c r="F28" s="3" t="s">
        <v>89</v>
      </c>
      <c r="G28" s="6">
        <v>5</v>
      </c>
      <c r="H28" s="3" t="s">
        <v>90</v>
      </c>
      <c r="I28" s="3" t="s">
        <v>91</v>
      </c>
      <c r="J28" s="3" t="s">
        <v>81</v>
      </c>
    </row>
    <row r="29" spans="1:10" ht="19.95" customHeight="1">
      <c r="A29" s="5">
        <v>46298</v>
      </c>
      <c r="B29" s="3" t="s">
        <v>5</v>
      </c>
      <c r="C29" s="3" t="s">
        <v>7</v>
      </c>
      <c r="D29" s="3" t="s">
        <v>40</v>
      </c>
      <c r="E29" s="3" t="s">
        <v>92</v>
      </c>
      <c r="F29" s="3" t="s">
        <v>93</v>
      </c>
      <c r="G29" s="6">
        <v>7</v>
      </c>
      <c r="H29" s="3" t="s">
        <v>90</v>
      </c>
      <c r="I29" s="3" t="s">
        <v>91</v>
      </c>
      <c r="J29" s="3" t="s">
        <v>81</v>
      </c>
    </row>
    <row r="30" spans="1:10" ht="19.95" customHeight="1">
      <c r="A30" s="5">
        <v>46299</v>
      </c>
      <c r="B30" s="3" t="s">
        <v>5</v>
      </c>
      <c r="C30" s="3" t="s">
        <v>7</v>
      </c>
      <c r="D30" s="3" t="s">
        <v>33</v>
      </c>
      <c r="E30" s="3" t="s">
        <v>96</v>
      </c>
      <c r="F30" s="3" t="s">
        <v>97</v>
      </c>
      <c r="G30" s="6">
        <v>4</v>
      </c>
      <c r="H30" s="3" t="s">
        <v>90</v>
      </c>
      <c r="I30" s="3" t="s">
        <v>91</v>
      </c>
      <c r="J30" s="3" t="s">
        <v>81</v>
      </c>
    </row>
    <row r="31" spans="1:10" ht="19.95" customHeight="1">
      <c r="A31" s="5">
        <v>46299</v>
      </c>
      <c r="B31" s="3" t="s">
        <v>5</v>
      </c>
      <c r="C31" s="3" t="s">
        <v>7</v>
      </c>
      <c r="D31" s="3" t="s">
        <v>34</v>
      </c>
      <c r="E31" s="3" t="s">
        <v>98</v>
      </c>
      <c r="F31" s="3" t="s">
        <v>99</v>
      </c>
      <c r="G31" s="6">
        <v>9</v>
      </c>
      <c r="H31" s="3" t="s">
        <v>90</v>
      </c>
      <c r="I31" s="3" t="s">
        <v>91</v>
      </c>
      <c r="J31" s="3" t="s">
        <v>81</v>
      </c>
    </row>
    <row r="32" spans="1:10" ht="19.95" customHeight="1">
      <c r="A32" s="5">
        <v>46299</v>
      </c>
      <c r="B32" s="3" t="s">
        <v>5</v>
      </c>
      <c r="C32" s="3" t="s">
        <v>7</v>
      </c>
      <c r="D32" s="3" t="s">
        <v>35</v>
      </c>
      <c r="E32" s="3" t="s">
        <v>88</v>
      </c>
      <c r="F32" s="3" t="s">
        <v>89</v>
      </c>
      <c r="G32" s="6">
        <v>5</v>
      </c>
      <c r="H32" s="3" t="s">
        <v>90</v>
      </c>
      <c r="I32" s="3" t="s">
        <v>91</v>
      </c>
      <c r="J32" s="3" t="s">
        <v>81</v>
      </c>
    </row>
    <row r="33" spans="1:10" ht="19.95" customHeight="1">
      <c r="A33" s="5">
        <v>46299</v>
      </c>
      <c r="B33" s="3" t="s">
        <v>5</v>
      </c>
      <c r="C33" s="3" t="s">
        <v>7</v>
      </c>
      <c r="D33" s="3" t="s">
        <v>36</v>
      </c>
      <c r="E33" s="3" t="s">
        <v>94</v>
      </c>
      <c r="F33" s="3" t="s">
        <v>95</v>
      </c>
      <c r="G33" s="6">
        <v>9</v>
      </c>
      <c r="H33" s="3" t="s">
        <v>90</v>
      </c>
      <c r="I33" s="3" t="s">
        <v>91</v>
      </c>
      <c r="J33" s="3" t="s">
        <v>81</v>
      </c>
    </row>
    <row r="34" spans="1:10" ht="19.95" customHeight="1">
      <c r="A34" s="5">
        <v>46299</v>
      </c>
      <c r="B34" s="3" t="s">
        <v>5</v>
      </c>
      <c r="C34" s="3" t="s">
        <v>7</v>
      </c>
      <c r="D34" s="3" t="s">
        <v>37</v>
      </c>
      <c r="E34" s="3" t="s">
        <v>96</v>
      </c>
      <c r="F34" s="3" t="s">
        <v>97</v>
      </c>
      <c r="G34" s="6">
        <v>6</v>
      </c>
      <c r="H34" s="3" t="s">
        <v>90</v>
      </c>
      <c r="I34" s="3" t="s">
        <v>91</v>
      </c>
      <c r="J34" s="3" t="s">
        <v>81</v>
      </c>
    </row>
    <row r="35" spans="1:10" ht="19.95" customHeight="1">
      <c r="A35" s="5">
        <v>46299</v>
      </c>
      <c r="B35" s="3" t="s">
        <v>5</v>
      </c>
      <c r="C35" s="3" t="s">
        <v>7</v>
      </c>
      <c r="D35" s="3" t="s">
        <v>38</v>
      </c>
      <c r="E35" s="3" t="s">
        <v>88</v>
      </c>
      <c r="F35" s="3" t="s">
        <v>89</v>
      </c>
      <c r="G35" s="6">
        <v>3</v>
      </c>
      <c r="H35" s="3" t="s">
        <v>90</v>
      </c>
      <c r="I35" s="3" t="s">
        <v>91</v>
      </c>
      <c r="J35" s="3" t="s">
        <v>81</v>
      </c>
    </row>
    <row r="36" spans="1:10" ht="19.95" customHeight="1">
      <c r="A36" s="5">
        <v>46299</v>
      </c>
      <c r="B36" s="3" t="s">
        <v>5</v>
      </c>
      <c r="C36" s="3" t="s">
        <v>7</v>
      </c>
      <c r="D36" s="3" t="s">
        <v>39</v>
      </c>
      <c r="E36" s="3" t="s">
        <v>92</v>
      </c>
      <c r="F36" s="3" t="s">
        <v>93</v>
      </c>
      <c r="G36" s="6">
        <v>3</v>
      </c>
      <c r="H36" s="3" t="s">
        <v>90</v>
      </c>
      <c r="I36" s="3" t="s">
        <v>91</v>
      </c>
      <c r="J36" s="3" t="s">
        <v>81</v>
      </c>
    </row>
    <row r="37" spans="1:10" ht="19.95" customHeight="1">
      <c r="A37" s="5">
        <v>46299</v>
      </c>
      <c r="B37" s="3" t="s">
        <v>5</v>
      </c>
      <c r="C37" s="3" t="s">
        <v>7</v>
      </c>
      <c r="D37" s="3" t="s">
        <v>40</v>
      </c>
      <c r="E37" s="3" t="s">
        <v>94</v>
      </c>
      <c r="F37" s="3" t="s">
        <v>95</v>
      </c>
      <c r="G37" s="6">
        <v>8</v>
      </c>
      <c r="H37" s="3" t="s">
        <v>90</v>
      </c>
      <c r="I37" s="3" t="s">
        <v>91</v>
      </c>
      <c r="J37" s="3" t="s">
        <v>81</v>
      </c>
    </row>
    <row r="38" spans="1:10" ht="19.95" customHeight="1">
      <c r="A38" s="5">
        <v>46300</v>
      </c>
      <c r="B38" s="3" t="s">
        <v>5</v>
      </c>
      <c r="C38" s="3" t="s">
        <v>7</v>
      </c>
      <c r="D38" s="3" t="s">
        <v>33</v>
      </c>
      <c r="E38" s="3" t="s">
        <v>98</v>
      </c>
      <c r="F38" s="3" t="s">
        <v>99</v>
      </c>
      <c r="G38" s="6">
        <v>5</v>
      </c>
      <c r="H38" s="3" t="s">
        <v>90</v>
      </c>
      <c r="I38" s="3" t="s">
        <v>91</v>
      </c>
      <c r="J38" s="3" t="s">
        <v>81</v>
      </c>
    </row>
    <row r="39" spans="1:10" ht="19.95" customHeight="1">
      <c r="A39" s="5">
        <v>46300</v>
      </c>
      <c r="B39" s="3" t="s">
        <v>5</v>
      </c>
      <c r="C39" s="3" t="s">
        <v>7</v>
      </c>
      <c r="D39" s="3" t="s">
        <v>34</v>
      </c>
      <c r="E39" s="3" t="s">
        <v>88</v>
      </c>
      <c r="F39" s="3" t="s">
        <v>89</v>
      </c>
      <c r="G39" s="6">
        <v>10</v>
      </c>
      <c r="H39" s="3" t="s">
        <v>90</v>
      </c>
      <c r="I39" s="3" t="s">
        <v>91</v>
      </c>
      <c r="J39" s="3" t="s">
        <v>81</v>
      </c>
    </row>
    <row r="40" spans="1:10" ht="19.95" customHeight="1">
      <c r="A40" s="5">
        <v>46300</v>
      </c>
      <c r="B40" s="3" t="s">
        <v>5</v>
      </c>
      <c r="C40" s="3" t="s">
        <v>7</v>
      </c>
      <c r="D40" s="3" t="s">
        <v>35</v>
      </c>
      <c r="E40" s="3" t="s">
        <v>94</v>
      </c>
      <c r="F40" s="3" t="s">
        <v>95</v>
      </c>
      <c r="G40" s="6">
        <v>3</v>
      </c>
      <c r="H40" s="3" t="s">
        <v>90</v>
      </c>
      <c r="I40" s="3" t="s">
        <v>91</v>
      </c>
      <c r="J40" s="3" t="s">
        <v>81</v>
      </c>
    </row>
    <row r="41" spans="1:10" ht="19.95" customHeight="1">
      <c r="A41" s="5">
        <v>46300</v>
      </c>
      <c r="B41" s="3" t="s">
        <v>5</v>
      </c>
      <c r="C41" s="3" t="s">
        <v>7</v>
      </c>
      <c r="D41" s="3" t="s">
        <v>36</v>
      </c>
      <c r="E41" s="3" t="s">
        <v>96</v>
      </c>
      <c r="F41" s="3" t="s">
        <v>97</v>
      </c>
      <c r="G41" s="6">
        <v>10</v>
      </c>
      <c r="H41" s="3" t="s">
        <v>90</v>
      </c>
      <c r="I41" s="3" t="s">
        <v>91</v>
      </c>
      <c r="J41" s="3" t="s">
        <v>81</v>
      </c>
    </row>
    <row r="42" spans="1:10" ht="19.95" customHeight="1">
      <c r="A42" s="5">
        <v>46300</v>
      </c>
      <c r="B42" s="3" t="s">
        <v>5</v>
      </c>
      <c r="C42" s="3" t="s">
        <v>7</v>
      </c>
      <c r="D42" s="3" t="s">
        <v>37</v>
      </c>
      <c r="E42" s="3" t="s">
        <v>88</v>
      </c>
      <c r="F42" s="3" t="s">
        <v>89</v>
      </c>
      <c r="G42" s="6">
        <v>7</v>
      </c>
      <c r="H42" s="3" t="s">
        <v>90</v>
      </c>
      <c r="I42" s="3" t="s">
        <v>91</v>
      </c>
      <c r="J42" s="3" t="s">
        <v>81</v>
      </c>
    </row>
    <row r="43" spans="1:10" ht="19.95" customHeight="1">
      <c r="A43" s="5">
        <v>46300</v>
      </c>
      <c r="B43" s="3" t="s">
        <v>5</v>
      </c>
      <c r="C43" s="3" t="s">
        <v>7</v>
      </c>
      <c r="D43" s="3" t="s">
        <v>38</v>
      </c>
      <c r="E43" s="3" t="s">
        <v>92</v>
      </c>
      <c r="F43" s="3" t="s">
        <v>93</v>
      </c>
      <c r="G43" s="6">
        <v>1</v>
      </c>
      <c r="H43" s="3" t="s">
        <v>90</v>
      </c>
      <c r="I43" s="3" t="s">
        <v>91</v>
      </c>
      <c r="J43" s="3" t="s">
        <v>81</v>
      </c>
    </row>
    <row r="44" spans="1:10" ht="19.95" customHeight="1">
      <c r="A44" s="5">
        <v>46300</v>
      </c>
      <c r="B44" s="3" t="s">
        <v>5</v>
      </c>
      <c r="C44" s="3" t="s">
        <v>7</v>
      </c>
      <c r="D44" s="3" t="s">
        <v>39</v>
      </c>
      <c r="E44" s="3" t="s">
        <v>94</v>
      </c>
      <c r="F44" s="3" t="s">
        <v>95</v>
      </c>
      <c r="G44" s="6">
        <v>4</v>
      </c>
      <c r="H44" s="3" t="s">
        <v>90</v>
      </c>
      <c r="I44" s="3" t="s">
        <v>91</v>
      </c>
      <c r="J44" s="3" t="s">
        <v>81</v>
      </c>
    </row>
    <row r="45" spans="1:10" ht="19.95" customHeight="1">
      <c r="A45" s="5">
        <v>46300</v>
      </c>
      <c r="B45" s="3" t="s">
        <v>5</v>
      </c>
      <c r="C45" s="3" t="s">
        <v>7</v>
      </c>
      <c r="D45" s="3" t="s">
        <v>40</v>
      </c>
      <c r="E45" s="3" t="s">
        <v>96</v>
      </c>
      <c r="F45" s="3" t="s">
        <v>97</v>
      </c>
      <c r="G45" s="6">
        <v>9</v>
      </c>
      <c r="H45" s="3" t="s">
        <v>90</v>
      </c>
      <c r="I45" s="3" t="s">
        <v>91</v>
      </c>
      <c r="J45" s="3" t="s">
        <v>81</v>
      </c>
    </row>
    <row r="46" spans="1:10" ht="19.95" customHeight="1">
      <c r="A46" s="5">
        <v>46301</v>
      </c>
      <c r="B46" s="3" t="s">
        <v>5</v>
      </c>
      <c r="C46" s="3" t="s">
        <v>7</v>
      </c>
      <c r="D46" s="3" t="s">
        <v>33</v>
      </c>
      <c r="E46" s="3" t="s">
        <v>88</v>
      </c>
      <c r="F46" s="3" t="s">
        <v>89</v>
      </c>
      <c r="G46" s="6">
        <v>6</v>
      </c>
      <c r="H46" s="3" t="s">
        <v>90</v>
      </c>
      <c r="I46" s="3" t="s">
        <v>91</v>
      </c>
      <c r="J46" s="3" t="s">
        <v>81</v>
      </c>
    </row>
    <row r="47" spans="1:10" ht="19.95" customHeight="1">
      <c r="A47" s="5">
        <v>46301</v>
      </c>
      <c r="B47" s="3" t="s">
        <v>5</v>
      </c>
      <c r="C47" s="3" t="s">
        <v>7</v>
      </c>
      <c r="D47" s="3" t="s">
        <v>34</v>
      </c>
      <c r="E47" s="3" t="s">
        <v>94</v>
      </c>
      <c r="F47" s="3" t="s">
        <v>95</v>
      </c>
      <c r="G47" s="6">
        <v>8</v>
      </c>
      <c r="H47" s="3" t="s">
        <v>90</v>
      </c>
      <c r="I47" s="3" t="s">
        <v>91</v>
      </c>
      <c r="J47" s="3" t="s">
        <v>81</v>
      </c>
    </row>
    <row r="48" spans="1:10" ht="19.95" customHeight="1">
      <c r="A48" s="5">
        <v>46301</v>
      </c>
      <c r="B48" s="3" t="s">
        <v>5</v>
      </c>
      <c r="C48" s="3" t="s">
        <v>7</v>
      </c>
      <c r="D48" s="3" t="s">
        <v>35</v>
      </c>
      <c r="E48" s="3" t="s">
        <v>96</v>
      </c>
      <c r="F48" s="3" t="s">
        <v>97</v>
      </c>
      <c r="G48" s="6">
        <v>4</v>
      </c>
      <c r="H48" s="3" t="s">
        <v>90</v>
      </c>
      <c r="I48" s="3" t="s">
        <v>91</v>
      </c>
      <c r="J48" s="3" t="s">
        <v>81</v>
      </c>
    </row>
    <row r="49" spans="1:10" ht="19.95" customHeight="1">
      <c r="A49" s="5">
        <v>46301</v>
      </c>
      <c r="B49" s="3" t="s">
        <v>5</v>
      </c>
      <c r="C49" s="3" t="s">
        <v>7</v>
      </c>
      <c r="D49" s="3" t="s">
        <v>36</v>
      </c>
      <c r="E49" s="3" t="s">
        <v>88</v>
      </c>
      <c r="F49" s="3" t="s">
        <v>89</v>
      </c>
      <c r="G49" s="6">
        <v>11</v>
      </c>
      <c r="H49" s="3" t="s">
        <v>90</v>
      </c>
      <c r="I49" s="3" t="s">
        <v>91</v>
      </c>
      <c r="J49" s="3" t="s">
        <v>81</v>
      </c>
    </row>
    <row r="50" spans="1:10" ht="19.95" customHeight="1">
      <c r="A50" s="5">
        <v>46301</v>
      </c>
      <c r="B50" s="3" t="s">
        <v>5</v>
      </c>
      <c r="C50" s="3" t="s">
        <v>7</v>
      </c>
      <c r="D50" s="3" t="s">
        <v>37</v>
      </c>
      <c r="E50" s="3" t="s">
        <v>92</v>
      </c>
      <c r="F50" s="3" t="s">
        <v>93</v>
      </c>
      <c r="G50" s="6">
        <v>5</v>
      </c>
      <c r="H50" s="3" t="s">
        <v>90</v>
      </c>
      <c r="I50" s="3" t="s">
        <v>91</v>
      </c>
      <c r="J50" s="3" t="s">
        <v>81</v>
      </c>
    </row>
    <row r="51" spans="1:10" ht="19.95" customHeight="1">
      <c r="A51" s="5">
        <v>46301</v>
      </c>
      <c r="B51" s="3" t="s">
        <v>5</v>
      </c>
      <c r="C51" s="3" t="s">
        <v>7</v>
      </c>
      <c r="D51" s="3" t="s">
        <v>38</v>
      </c>
      <c r="E51" s="3" t="s">
        <v>94</v>
      </c>
      <c r="F51" s="3" t="s">
        <v>95</v>
      </c>
      <c r="G51" s="6">
        <v>2</v>
      </c>
      <c r="H51" s="3" t="s">
        <v>90</v>
      </c>
      <c r="I51" s="3" t="s">
        <v>91</v>
      </c>
      <c r="J51" s="3" t="s">
        <v>81</v>
      </c>
    </row>
    <row r="52" spans="1:10" ht="19.95" customHeight="1">
      <c r="A52" s="5">
        <v>46301</v>
      </c>
      <c r="B52" s="3" t="s">
        <v>5</v>
      </c>
      <c r="C52" s="3" t="s">
        <v>7</v>
      </c>
      <c r="D52" s="3" t="s">
        <v>39</v>
      </c>
      <c r="E52" s="3" t="s">
        <v>96</v>
      </c>
      <c r="F52" s="3" t="s">
        <v>97</v>
      </c>
      <c r="G52" s="6">
        <v>5</v>
      </c>
      <c r="H52" s="3" t="s">
        <v>90</v>
      </c>
      <c r="I52" s="3" t="s">
        <v>91</v>
      </c>
      <c r="J52" s="3" t="s">
        <v>81</v>
      </c>
    </row>
    <row r="53" spans="1:10" ht="19.95" customHeight="1">
      <c r="A53" s="5">
        <v>46301</v>
      </c>
      <c r="B53" s="3" t="s">
        <v>5</v>
      </c>
      <c r="C53" s="3" t="s">
        <v>7</v>
      </c>
      <c r="D53" s="3" t="s">
        <v>40</v>
      </c>
      <c r="E53" s="3" t="s">
        <v>98</v>
      </c>
      <c r="F53" s="3" t="s">
        <v>99</v>
      </c>
      <c r="G53" s="6">
        <v>7</v>
      </c>
      <c r="H53" s="3" t="s">
        <v>90</v>
      </c>
      <c r="I53" s="3" t="s">
        <v>91</v>
      </c>
      <c r="J53" s="3" t="s">
        <v>81</v>
      </c>
    </row>
    <row r="54" spans="1:10" ht="19.95" customHeight="1">
      <c r="A54" s="5">
        <v>46302</v>
      </c>
      <c r="B54" s="3" t="s">
        <v>5</v>
      </c>
      <c r="C54" s="3" t="s">
        <v>7</v>
      </c>
      <c r="D54" s="3" t="s">
        <v>33</v>
      </c>
      <c r="E54" s="3" t="s">
        <v>94</v>
      </c>
      <c r="F54" s="3" t="s">
        <v>95</v>
      </c>
      <c r="G54" s="6">
        <v>4</v>
      </c>
      <c r="H54" s="3" t="s">
        <v>90</v>
      </c>
      <c r="I54" s="3" t="s">
        <v>91</v>
      </c>
      <c r="J54" s="3" t="s">
        <v>81</v>
      </c>
    </row>
    <row r="55" spans="1:10" ht="19.95" customHeight="1">
      <c r="A55" s="5">
        <v>46302</v>
      </c>
      <c r="B55" s="3" t="s">
        <v>5</v>
      </c>
      <c r="C55" s="3" t="s">
        <v>7</v>
      </c>
      <c r="D55" s="3" t="s">
        <v>34</v>
      </c>
      <c r="E55" s="3" t="s">
        <v>96</v>
      </c>
      <c r="F55" s="3" t="s">
        <v>97</v>
      </c>
      <c r="G55" s="6">
        <v>9</v>
      </c>
      <c r="H55" s="3" t="s">
        <v>90</v>
      </c>
      <c r="I55" s="3" t="s">
        <v>91</v>
      </c>
      <c r="J55" s="3" t="s">
        <v>81</v>
      </c>
    </row>
    <row r="56" spans="1:10" ht="19.95" customHeight="1">
      <c r="A56" s="5">
        <v>46302</v>
      </c>
      <c r="B56" s="3" t="s">
        <v>5</v>
      </c>
      <c r="C56" s="3" t="s">
        <v>7</v>
      </c>
      <c r="D56" s="3" t="s">
        <v>35</v>
      </c>
      <c r="E56" s="3" t="s">
        <v>88</v>
      </c>
      <c r="F56" s="3" t="s">
        <v>89</v>
      </c>
      <c r="G56" s="6">
        <v>5</v>
      </c>
      <c r="H56" s="3" t="s">
        <v>90</v>
      </c>
      <c r="I56" s="3" t="s">
        <v>91</v>
      </c>
      <c r="J56" s="3" t="s">
        <v>81</v>
      </c>
    </row>
    <row r="57" spans="1:10" ht="19.95" customHeight="1">
      <c r="A57" s="5">
        <v>46302</v>
      </c>
      <c r="B57" s="3" t="s">
        <v>5</v>
      </c>
      <c r="C57" s="3" t="s">
        <v>7</v>
      </c>
      <c r="D57" s="3" t="s">
        <v>36</v>
      </c>
      <c r="E57" s="3" t="s">
        <v>92</v>
      </c>
      <c r="F57" s="3" t="s">
        <v>93</v>
      </c>
      <c r="G57" s="6">
        <v>9</v>
      </c>
      <c r="H57" s="3" t="s">
        <v>90</v>
      </c>
      <c r="I57" s="3" t="s">
        <v>91</v>
      </c>
      <c r="J57" s="3" t="s">
        <v>81</v>
      </c>
    </row>
    <row r="58" spans="1:10" ht="19.95" customHeight="1">
      <c r="A58" s="5">
        <v>46302</v>
      </c>
      <c r="B58" s="3" t="s">
        <v>5</v>
      </c>
      <c r="C58" s="3" t="s">
        <v>7</v>
      </c>
      <c r="D58" s="3" t="s">
        <v>37</v>
      </c>
      <c r="E58" s="3" t="s">
        <v>94</v>
      </c>
      <c r="F58" s="3" t="s">
        <v>95</v>
      </c>
      <c r="G58" s="6">
        <v>6</v>
      </c>
      <c r="H58" s="3" t="s">
        <v>90</v>
      </c>
      <c r="I58" s="3" t="s">
        <v>91</v>
      </c>
      <c r="J58" s="3" t="s">
        <v>81</v>
      </c>
    </row>
    <row r="59" spans="1:10" ht="19.95" customHeight="1">
      <c r="A59" s="5">
        <v>46302</v>
      </c>
      <c r="B59" s="3" t="s">
        <v>5</v>
      </c>
      <c r="C59" s="3" t="s">
        <v>7</v>
      </c>
      <c r="D59" s="3" t="s">
        <v>38</v>
      </c>
      <c r="E59" s="3" t="s">
        <v>96</v>
      </c>
      <c r="F59" s="3" t="s">
        <v>97</v>
      </c>
      <c r="G59" s="6">
        <v>3</v>
      </c>
      <c r="H59" s="3" t="s">
        <v>90</v>
      </c>
      <c r="I59" s="3" t="s">
        <v>91</v>
      </c>
      <c r="J59" s="3" t="s">
        <v>81</v>
      </c>
    </row>
    <row r="60" spans="1:10" ht="19.95" customHeight="1">
      <c r="A60" s="5">
        <v>46302</v>
      </c>
      <c r="B60" s="3" t="s">
        <v>5</v>
      </c>
      <c r="C60" s="3" t="s">
        <v>7</v>
      </c>
      <c r="D60" s="3" t="s">
        <v>39</v>
      </c>
      <c r="E60" s="3" t="s">
        <v>98</v>
      </c>
      <c r="F60" s="3" t="s">
        <v>99</v>
      </c>
      <c r="G60" s="6">
        <v>3</v>
      </c>
      <c r="H60" s="3" t="s">
        <v>90</v>
      </c>
      <c r="I60" s="3" t="s">
        <v>91</v>
      </c>
      <c r="J60" s="3" t="s">
        <v>81</v>
      </c>
    </row>
    <row r="61" spans="1:10" ht="19.95" customHeight="1">
      <c r="A61" s="5">
        <v>46302</v>
      </c>
      <c r="B61" s="3" t="s">
        <v>5</v>
      </c>
      <c r="C61" s="3" t="s">
        <v>7</v>
      </c>
      <c r="D61" s="3" t="s">
        <v>40</v>
      </c>
      <c r="E61" s="3" t="s">
        <v>88</v>
      </c>
      <c r="F61" s="3" t="s">
        <v>89</v>
      </c>
      <c r="G61" s="6">
        <v>8</v>
      </c>
      <c r="H61" s="3" t="s">
        <v>90</v>
      </c>
      <c r="I61" s="3" t="s">
        <v>91</v>
      </c>
      <c r="J61" s="3" t="s">
        <v>81</v>
      </c>
    </row>
  </sheetData>
  <mergeCells count="2">
    <mergeCell ref="A1:J2"/>
    <mergeCell ref="A3:J3"/>
  </mergeCells>
  <dataValidations count="2">
    <dataValidation type="list" sqref="E6:E500" xr:uid="{00000000-0002-0000-0200-000000000000}">
      <formula1>"BRK,SET,WAIT,MIN,START"</formula1>
    </dataValidation>
    <dataValidation type="list" sqref="B6:B500" xr:uid="{00000000-0002-0000-0200-000001000000}">
      <formula1>"Ca 1,Ca 2,Ca 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workbookViewId="0">
      <pane ySplit="5" topLeftCell="A6" activePane="bottomLeft" state="frozen"/>
      <selection pane="bottomLeft" sqref="A1:H2"/>
    </sheetView>
  </sheetViews>
  <sheetFormatPr defaultRowHeight="13.8"/>
  <cols>
    <col min="1" max="1" width="16" customWidth="1"/>
    <col min="2" max="2" width="11" customWidth="1"/>
    <col min="3" max="3" width="13" customWidth="1"/>
    <col min="4" max="4" width="21" customWidth="1"/>
    <col min="5" max="5" width="17" customWidth="1"/>
    <col min="6" max="6" width="19" customWidth="1"/>
    <col min="7" max="7" width="35" customWidth="1"/>
    <col min="8" max="8" width="25" customWidth="1"/>
  </cols>
  <sheetData>
    <row r="1" spans="1:8" ht="24" customHeight="1">
      <c r="A1" s="24" t="s">
        <v>100</v>
      </c>
      <c r="B1" s="24"/>
      <c r="C1" s="24"/>
      <c r="D1" s="24"/>
      <c r="E1" s="24"/>
      <c r="F1" s="24"/>
      <c r="G1" s="24"/>
      <c r="H1" s="24"/>
    </row>
    <row r="2" spans="1:8" ht="24" customHeight="1">
      <c r="A2" s="24"/>
      <c r="B2" s="24"/>
      <c r="C2" s="24"/>
      <c r="D2" s="24"/>
      <c r="E2" s="24"/>
      <c r="F2" s="24"/>
      <c r="G2" s="24"/>
      <c r="H2" s="24"/>
    </row>
    <row r="3" spans="1:8" ht="24" customHeight="1">
      <c r="A3" s="25" t="s">
        <v>101</v>
      </c>
      <c r="B3" s="25"/>
      <c r="C3" s="25"/>
      <c r="D3" s="25"/>
      <c r="E3" s="25"/>
      <c r="F3" s="25"/>
      <c r="G3" s="25"/>
      <c r="H3" s="25"/>
    </row>
    <row r="5" spans="1:8" ht="37.950000000000003" customHeight="1">
      <c r="A5" s="2" t="s">
        <v>66</v>
      </c>
      <c r="B5" s="2" t="s">
        <v>67</v>
      </c>
      <c r="C5" s="2" t="s">
        <v>68</v>
      </c>
      <c r="D5" s="2" t="s">
        <v>69</v>
      </c>
      <c r="E5" s="2" t="s">
        <v>102</v>
      </c>
      <c r="F5" s="2" t="s">
        <v>103</v>
      </c>
      <c r="G5" s="2" t="s">
        <v>104</v>
      </c>
      <c r="H5" s="2" t="s">
        <v>80</v>
      </c>
    </row>
    <row r="6" spans="1:8" ht="19.95" customHeight="1">
      <c r="A6" s="5">
        <v>46296</v>
      </c>
      <c r="B6" s="3" t="s">
        <v>5</v>
      </c>
      <c r="C6" s="3" t="s">
        <v>7</v>
      </c>
      <c r="D6" s="3" t="s">
        <v>33</v>
      </c>
      <c r="E6" s="3" t="s">
        <v>105</v>
      </c>
      <c r="F6" s="6">
        <v>2</v>
      </c>
      <c r="G6" s="3" t="s">
        <v>106</v>
      </c>
      <c r="H6" s="3" t="s">
        <v>81</v>
      </c>
    </row>
    <row r="7" spans="1:8" ht="19.95" customHeight="1">
      <c r="A7" s="5">
        <v>46296</v>
      </c>
      <c r="B7" s="3" t="s">
        <v>5</v>
      </c>
      <c r="C7" s="3" t="s">
        <v>7</v>
      </c>
      <c r="D7" s="3" t="s">
        <v>34</v>
      </c>
      <c r="E7" s="3" t="s">
        <v>105</v>
      </c>
      <c r="F7" s="6">
        <v>4</v>
      </c>
      <c r="G7" s="3" t="s">
        <v>106</v>
      </c>
      <c r="H7" s="3" t="s">
        <v>81</v>
      </c>
    </row>
    <row r="8" spans="1:8" ht="19.95" customHeight="1">
      <c r="A8" s="5">
        <v>46296</v>
      </c>
      <c r="B8" s="3" t="s">
        <v>5</v>
      </c>
      <c r="C8" s="3" t="s">
        <v>7</v>
      </c>
      <c r="D8" s="3" t="s">
        <v>35</v>
      </c>
      <c r="E8" s="3" t="s">
        <v>105</v>
      </c>
      <c r="F8" s="6">
        <v>6</v>
      </c>
      <c r="G8" s="3" t="s">
        <v>106</v>
      </c>
      <c r="H8" s="3" t="s">
        <v>81</v>
      </c>
    </row>
    <row r="9" spans="1:8" ht="19.95" customHeight="1">
      <c r="A9" s="5">
        <v>46296</v>
      </c>
      <c r="B9" s="3" t="s">
        <v>5</v>
      </c>
      <c r="C9" s="3" t="s">
        <v>7</v>
      </c>
      <c r="D9" s="3" t="s">
        <v>36</v>
      </c>
      <c r="E9" s="3" t="s">
        <v>105</v>
      </c>
      <c r="F9" s="6">
        <v>8</v>
      </c>
      <c r="G9" s="3" t="s">
        <v>106</v>
      </c>
      <c r="H9" s="3" t="s">
        <v>81</v>
      </c>
    </row>
    <row r="10" spans="1:8" ht="19.95" customHeight="1">
      <c r="A10" s="5">
        <v>46296</v>
      </c>
      <c r="B10" s="3" t="s">
        <v>5</v>
      </c>
      <c r="C10" s="3" t="s">
        <v>7</v>
      </c>
      <c r="D10" s="3" t="s">
        <v>37</v>
      </c>
      <c r="E10" s="3" t="s">
        <v>105</v>
      </c>
      <c r="F10" s="6">
        <v>2</v>
      </c>
      <c r="G10" s="3" t="s">
        <v>106</v>
      </c>
      <c r="H10" s="3" t="s">
        <v>81</v>
      </c>
    </row>
    <row r="11" spans="1:8" ht="19.95" customHeight="1">
      <c r="A11" s="5">
        <v>46296</v>
      </c>
      <c r="B11" s="3" t="s">
        <v>5</v>
      </c>
      <c r="C11" s="3" t="s">
        <v>7</v>
      </c>
      <c r="D11" s="3" t="s">
        <v>38</v>
      </c>
      <c r="E11" s="3" t="s">
        <v>105</v>
      </c>
      <c r="F11" s="6">
        <v>4</v>
      </c>
      <c r="G11" s="3" t="s">
        <v>106</v>
      </c>
      <c r="H11" s="3" t="s">
        <v>81</v>
      </c>
    </row>
    <row r="12" spans="1:8" ht="19.95" customHeight="1">
      <c r="A12" s="5">
        <v>46296</v>
      </c>
      <c r="B12" s="3" t="s">
        <v>5</v>
      </c>
      <c r="C12" s="3" t="s">
        <v>7</v>
      </c>
      <c r="D12" s="3" t="s">
        <v>39</v>
      </c>
      <c r="E12" s="3" t="s">
        <v>105</v>
      </c>
      <c r="F12" s="6">
        <v>6</v>
      </c>
      <c r="G12" s="3" t="s">
        <v>106</v>
      </c>
      <c r="H12" s="3" t="s">
        <v>81</v>
      </c>
    </row>
    <row r="13" spans="1:8" ht="19.95" customHeight="1">
      <c r="A13" s="5">
        <v>46296</v>
      </c>
      <c r="B13" s="3" t="s">
        <v>5</v>
      </c>
      <c r="C13" s="3" t="s">
        <v>7</v>
      </c>
      <c r="D13" s="3" t="s">
        <v>40</v>
      </c>
      <c r="E13" s="3" t="s">
        <v>105</v>
      </c>
      <c r="F13" s="6">
        <v>8</v>
      </c>
      <c r="G13" s="3" t="s">
        <v>106</v>
      </c>
      <c r="H13" s="3" t="s">
        <v>81</v>
      </c>
    </row>
    <row r="14" spans="1:8" ht="19.95" customHeight="1">
      <c r="A14" s="5">
        <v>46297</v>
      </c>
      <c r="B14" s="3" t="s">
        <v>5</v>
      </c>
      <c r="C14" s="3" t="s">
        <v>7</v>
      </c>
      <c r="D14" s="3" t="s">
        <v>33</v>
      </c>
      <c r="E14" s="3" t="s">
        <v>105</v>
      </c>
      <c r="F14" s="6">
        <v>5</v>
      </c>
      <c r="G14" s="3" t="s">
        <v>106</v>
      </c>
      <c r="H14" s="3" t="s">
        <v>81</v>
      </c>
    </row>
    <row r="15" spans="1:8" ht="19.95" customHeight="1">
      <c r="A15" s="5">
        <v>46297</v>
      </c>
      <c r="B15" s="3" t="s">
        <v>5</v>
      </c>
      <c r="C15" s="3" t="s">
        <v>7</v>
      </c>
      <c r="D15" s="3" t="s">
        <v>34</v>
      </c>
      <c r="E15" s="3" t="s">
        <v>105</v>
      </c>
      <c r="F15" s="6">
        <v>7</v>
      </c>
      <c r="G15" s="3" t="s">
        <v>106</v>
      </c>
      <c r="H15" s="3" t="s">
        <v>81</v>
      </c>
    </row>
    <row r="16" spans="1:8" ht="19.95" customHeight="1">
      <c r="A16" s="5">
        <v>46297</v>
      </c>
      <c r="B16" s="3" t="s">
        <v>5</v>
      </c>
      <c r="C16" s="3" t="s">
        <v>7</v>
      </c>
      <c r="D16" s="3" t="s">
        <v>35</v>
      </c>
      <c r="E16" s="3" t="s">
        <v>105</v>
      </c>
      <c r="F16" s="6">
        <v>9</v>
      </c>
      <c r="G16" s="3" t="s">
        <v>106</v>
      </c>
      <c r="H16" s="3" t="s">
        <v>81</v>
      </c>
    </row>
    <row r="17" spans="1:8" ht="19.95" customHeight="1">
      <c r="A17" s="5">
        <v>46297</v>
      </c>
      <c r="B17" s="3" t="s">
        <v>5</v>
      </c>
      <c r="C17" s="3" t="s">
        <v>7</v>
      </c>
      <c r="D17" s="3" t="s">
        <v>36</v>
      </c>
      <c r="E17" s="3" t="s">
        <v>105</v>
      </c>
      <c r="F17" s="6">
        <v>3</v>
      </c>
      <c r="G17" s="3" t="s">
        <v>106</v>
      </c>
      <c r="H17" s="3" t="s">
        <v>81</v>
      </c>
    </row>
    <row r="18" spans="1:8" ht="19.95" customHeight="1">
      <c r="A18" s="5">
        <v>46297</v>
      </c>
      <c r="B18" s="3" t="s">
        <v>5</v>
      </c>
      <c r="C18" s="3" t="s">
        <v>7</v>
      </c>
      <c r="D18" s="3" t="s">
        <v>37</v>
      </c>
      <c r="E18" s="3" t="s">
        <v>105</v>
      </c>
      <c r="F18" s="6">
        <v>5</v>
      </c>
      <c r="G18" s="3" t="s">
        <v>106</v>
      </c>
      <c r="H18" s="3" t="s">
        <v>81</v>
      </c>
    </row>
    <row r="19" spans="1:8" ht="19.95" customHeight="1">
      <c r="A19" s="5">
        <v>46297</v>
      </c>
      <c r="B19" s="3" t="s">
        <v>5</v>
      </c>
      <c r="C19" s="3" t="s">
        <v>7</v>
      </c>
      <c r="D19" s="3" t="s">
        <v>38</v>
      </c>
      <c r="E19" s="3" t="s">
        <v>105</v>
      </c>
      <c r="F19" s="6">
        <v>7</v>
      </c>
      <c r="G19" s="3" t="s">
        <v>106</v>
      </c>
      <c r="H19" s="3" t="s">
        <v>81</v>
      </c>
    </row>
    <row r="20" spans="1:8" ht="19.95" customHeight="1">
      <c r="A20" s="5">
        <v>46297</v>
      </c>
      <c r="B20" s="3" t="s">
        <v>5</v>
      </c>
      <c r="C20" s="3" t="s">
        <v>7</v>
      </c>
      <c r="D20" s="3" t="s">
        <v>39</v>
      </c>
      <c r="E20" s="3" t="s">
        <v>105</v>
      </c>
      <c r="F20" s="6">
        <v>9</v>
      </c>
      <c r="G20" s="3" t="s">
        <v>106</v>
      </c>
      <c r="H20" s="3" t="s">
        <v>81</v>
      </c>
    </row>
    <row r="21" spans="1:8" ht="19.95" customHeight="1">
      <c r="A21" s="5">
        <v>46297</v>
      </c>
      <c r="B21" s="3" t="s">
        <v>5</v>
      </c>
      <c r="C21" s="3" t="s">
        <v>7</v>
      </c>
      <c r="D21" s="3" t="s">
        <v>40</v>
      </c>
      <c r="E21" s="3" t="s">
        <v>105</v>
      </c>
      <c r="F21" s="6">
        <v>3</v>
      </c>
      <c r="G21" s="3" t="s">
        <v>106</v>
      </c>
      <c r="H21" s="3" t="s">
        <v>81</v>
      </c>
    </row>
    <row r="22" spans="1:8" ht="19.95" customHeight="1">
      <c r="A22" s="5">
        <v>46298</v>
      </c>
      <c r="B22" s="3" t="s">
        <v>5</v>
      </c>
      <c r="C22" s="3" t="s">
        <v>7</v>
      </c>
      <c r="D22" s="3" t="s">
        <v>33</v>
      </c>
      <c r="E22" s="3" t="s">
        <v>105</v>
      </c>
      <c r="F22" s="6">
        <v>8</v>
      </c>
      <c r="G22" s="3" t="s">
        <v>106</v>
      </c>
      <c r="H22" s="3" t="s">
        <v>81</v>
      </c>
    </row>
    <row r="23" spans="1:8" ht="19.95" customHeight="1">
      <c r="A23" s="5">
        <v>46298</v>
      </c>
      <c r="B23" s="3" t="s">
        <v>5</v>
      </c>
      <c r="C23" s="3" t="s">
        <v>7</v>
      </c>
      <c r="D23" s="3" t="s">
        <v>34</v>
      </c>
      <c r="E23" s="3" t="s">
        <v>105</v>
      </c>
      <c r="F23" s="6">
        <v>2</v>
      </c>
      <c r="G23" s="3" t="s">
        <v>106</v>
      </c>
      <c r="H23" s="3" t="s">
        <v>81</v>
      </c>
    </row>
    <row r="24" spans="1:8" ht="19.95" customHeight="1">
      <c r="A24" s="5">
        <v>46298</v>
      </c>
      <c r="B24" s="3" t="s">
        <v>5</v>
      </c>
      <c r="C24" s="3" t="s">
        <v>7</v>
      </c>
      <c r="D24" s="3" t="s">
        <v>35</v>
      </c>
      <c r="E24" s="3" t="s">
        <v>105</v>
      </c>
      <c r="F24" s="6">
        <v>4</v>
      </c>
      <c r="G24" s="3" t="s">
        <v>106</v>
      </c>
      <c r="H24" s="3" t="s">
        <v>81</v>
      </c>
    </row>
    <row r="25" spans="1:8" ht="19.95" customHeight="1">
      <c r="A25" s="5">
        <v>46298</v>
      </c>
      <c r="B25" s="3" t="s">
        <v>5</v>
      </c>
      <c r="C25" s="3" t="s">
        <v>7</v>
      </c>
      <c r="D25" s="3" t="s">
        <v>36</v>
      </c>
      <c r="E25" s="3" t="s">
        <v>105</v>
      </c>
      <c r="F25" s="6">
        <v>6</v>
      </c>
      <c r="G25" s="3" t="s">
        <v>106</v>
      </c>
      <c r="H25" s="3" t="s">
        <v>81</v>
      </c>
    </row>
    <row r="26" spans="1:8" ht="19.95" customHeight="1">
      <c r="A26" s="5">
        <v>46298</v>
      </c>
      <c r="B26" s="3" t="s">
        <v>5</v>
      </c>
      <c r="C26" s="3" t="s">
        <v>7</v>
      </c>
      <c r="D26" s="3" t="s">
        <v>37</v>
      </c>
      <c r="E26" s="3" t="s">
        <v>105</v>
      </c>
      <c r="F26" s="6">
        <v>8</v>
      </c>
      <c r="G26" s="3" t="s">
        <v>106</v>
      </c>
      <c r="H26" s="3" t="s">
        <v>81</v>
      </c>
    </row>
    <row r="27" spans="1:8" ht="19.95" customHeight="1">
      <c r="A27" s="5">
        <v>46298</v>
      </c>
      <c r="B27" s="3" t="s">
        <v>5</v>
      </c>
      <c r="C27" s="3" t="s">
        <v>7</v>
      </c>
      <c r="D27" s="3" t="s">
        <v>38</v>
      </c>
      <c r="E27" s="3" t="s">
        <v>105</v>
      </c>
      <c r="F27" s="6">
        <v>2</v>
      </c>
      <c r="G27" s="3" t="s">
        <v>106</v>
      </c>
      <c r="H27" s="3" t="s">
        <v>81</v>
      </c>
    </row>
    <row r="28" spans="1:8" ht="19.95" customHeight="1">
      <c r="A28" s="5">
        <v>46298</v>
      </c>
      <c r="B28" s="3" t="s">
        <v>5</v>
      </c>
      <c r="C28" s="3" t="s">
        <v>7</v>
      </c>
      <c r="D28" s="3" t="s">
        <v>39</v>
      </c>
      <c r="E28" s="3" t="s">
        <v>105</v>
      </c>
      <c r="F28" s="6">
        <v>4</v>
      </c>
      <c r="G28" s="3" t="s">
        <v>106</v>
      </c>
      <c r="H28" s="3" t="s">
        <v>81</v>
      </c>
    </row>
    <row r="29" spans="1:8" ht="19.95" customHeight="1">
      <c r="A29" s="5">
        <v>46298</v>
      </c>
      <c r="B29" s="3" t="s">
        <v>5</v>
      </c>
      <c r="C29" s="3" t="s">
        <v>7</v>
      </c>
      <c r="D29" s="3" t="s">
        <v>40</v>
      </c>
      <c r="E29" s="3" t="s">
        <v>105</v>
      </c>
      <c r="F29" s="6">
        <v>6</v>
      </c>
      <c r="G29" s="3" t="s">
        <v>106</v>
      </c>
      <c r="H29" s="3" t="s">
        <v>81</v>
      </c>
    </row>
    <row r="30" spans="1:8" ht="19.95" customHeight="1">
      <c r="A30" s="5">
        <v>46299</v>
      </c>
      <c r="B30" s="3" t="s">
        <v>5</v>
      </c>
      <c r="C30" s="3" t="s">
        <v>7</v>
      </c>
      <c r="D30" s="3" t="s">
        <v>33</v>
      </c>
      <c r="E30" s="3" t="s">
        <v>105</v>
      </c>
      <c r="F30" s="6">
        <v>3</v>
      </c>
      <c r="G30" s="3" t="s">
        <v>106</v>
      </c>
      <c r="H30" s="3" t="s">
        <v>81</v>
      </c>
    </row>
    <row r="31" spans="1:8" ht="19.95" customHeight="1">
      <c r="A31" s="5">
        <v>46299</v>
      </c>
      <c r="B31" s="3" t="s">
        <v>5</v>
      </c>
      <c r="C31" s="3" t="s">
        <v>7</v>
      </c>
      <c r="D31" s="3" t="s">
        <v>34</v>
      </c>
      <c r="E31" s="3" t="s">
        <v>105</v>
      </c>
      <c r="F31" s="6">
        <v>5</v>
      </c>
      <c r="G31" s="3" t="s">
        <v>106</v>
      </c>
      <c r="H31" s="3" t="s">
        <v>81</v>
      </c>
    </row>
    <row r="32" spans="1:8" ht="19.95" customHeight="1">
      <c r="A32" s="5">
        <v>46299</v>
      </c>
      <c r="B32" s="3" t="s">
        <v>5</v>
      </c>
      <c r="C32" s="3" t="s">
        <v>7</v>
      </c>
      <c r="D32" s="3" t="s">
        <v>35</v>
      </c>
      <c r="E32" s="3" t="s">
        <v>105</v>
      </c>
      <c r="F32" s="6">
        <v>7</v>
      </c>
      <c r="G32" s="3" t="s">
        <v>106</v>
      </c>
      <c r="H32" s="3" t="s">
        <v>81</v>
      </c>
    </row>
    <row r="33" spans="1:8" ht="19.95" customHeight="1">
      <c r="A33" s="5">
        <v>46299</v>
      </c>
      <c r="B33" s="3" t="s">
        <v>5</v>
      </c>
      <c r="C33" s="3" t="s">
        <v>7</v>
      </c>
      <c r="D33" s="3" t="s">
        <v>36</v>
      </c>
      <c r="E33" s="3" t="s">
        <v>105</v>
      </c>
      <c r="F33" s="6">
        <v>9</v>
      </c>
      <c r="G33" s="3" t="s">
        <v>106</v>
      </c>
      <c r="H33" s="3" t="s">
        <v>81</v>
      </c>
    </row>
    <row r="34" spans="1:8" ht="19.95" customHeight="1">
      <c r="A34" s="5">
        <v>46299</v>
      </c>
      <c r="B34" s="3" t="s">
        <v>5</v>
      </c>
      <c r="C34" s="3" t="s">
        <v>7</v>
      </c>
      <c r="D34" s="3" t="s">
        <v>37</v>
      </c>
      <c r="E34" s="3" t="s">
        <v>105</v>
      </c>
      <c r="F34" s="6">
        <v>3</v>
      </c>
      <c r="G34" s="3" t="s">
        <v>106</v>
      </c>
      <c r="H34" s="3" t="s">
        <v>81</v>
      </c>
    </row>
    <row r="35" spans="1:8" ht="19.95" customHeight="1">
      <c r="A35" s="5">
        <v>46299</v>
      </c>
      <c r="B35" s="3" t="s">
        <v>5</v>
      </c>
      <c r="C35" s="3" t="s">
        <v>7</v>
      </c>
      <c r="D35" s="3" t="s">
        <v>38</v>
      </c>
      <c r="E35" s="3" t="s">
        <v>105</v>
      </c>
      <c r="F35" s="6">
        <v>5</v>
      </c>
      <c r="G35" s="3" t="s">
        <v>106</v>
      </c>
      <c r="H35" s="3" t="s">
        <v>81</v>
      </c>
    </row>
    <row r="36" spans="1:8" ht="19.95" customHeight="1">
      <c r="A36" s="5">
        <v>46299</v>
      </c>
      <c r="B36" s="3" t="s">
        <v>5</v>
      </c>
      <c r="C36" s="3" t="s">
        <v>7</v>
      </c>
      <c r="D36" s="3" t="s">
        <v>39</v>
      </c>
      <c r="E36" s="3" t="s">
        <v>105</v>
      </c>
      <c r="F36" s="6">
        <v>7</v>
      </c>
      <c r="G36" s="3" t="s">
        <v>106</v>
      </c>
      <c r="H36" s="3" t="s">
        <v>81</v>
      </c>
    </row>
    <row r="37" spans="1:8" ht="19.95" customHeight="1">
      <c r="A37" s="5">
        <v>46299</v>
      </c>
      <c r="B37" s="3" t="s">
        <v>5</v>
      </c>
      <c r="C37" s="3" t="s">
        <v>7</v>
      </c>
      <c r="D37" s="3" t="s">
        <v>40</v>
      </c>
      <c r="E37" s="3" t="s">
        <v>105</v>
      </c>
      <c r="F37" s="6">
        <v>9</v>
      </c>
      <c r="G37" s="3" t="s">
        <v>106</v>
      </c>
      <c r="H37" s="3" t="s">
        <v>81</v>
      </c>
    </row>
    <row r="38" spans="1:8" ht="19.95" customHeight="1">
      <c r="A38" s="5">
        <v>46300</v>
      </c>
      <c r="B38" s="3" t="s">
        <v>5</v>
      </c>
      <c r="C38" s="3" t="s">
        <v>7</v>
      </c>
      <c r="D38" s="3" t="s">
        <v>33</v>
      </c>
      <c r="E38" s="3" t="s">
        <v>105</v>
      </c>
      <c r="F38" s="6">
        <v>6</v>
      </c>
      <c r="G38" s="3" t="s">
        <v>106</v>
      </c>
      <c r="H38" s="3" t="s">
        <v>81</v>
      </c>
    </row>
    <row r="39" spans="1:8" ht="19.95" customHeight="1">
      <c r="A39" s="5">
        <v>46300</v>
      </c>
      <c r="B39" s="3" t="s">
        <v>5</v>
      </c>
      <c r="C39" s="3" t="s">
        <v>7</v>
      </c>
      <c r="D39" s="3" t="s">
        <v>34</v>
      </c>
      <c r="E39" s="3" t="s">
        <v>105</v>
      </c>
      <c r="F39" s="6">
        <v>8</v>
      </c>
      <c r="G39" s="3" t="s">
        <v>106</v>
      </c>
      <c r="H39" s="3" t="s">
        <v>81</v>
      </c>
    </row>
    <row r="40" spans="1:8" ht="19.95" customHeight="1">
      <c r="A40" s="5">
        <v>46300</v>
      </c>
      <c r="B40" s="3" t="s">
        <v>5</v>
      </c>
      <c r="C40" s="3" t="s">
        <v>7</v>
      </c>
      <c r="D40" s="3" t="s">
        <v>35</v>
      </c>
      <c r="E40" s="3" t="s">
        <v>105</v>
      </c>
      <c r="F40" s="6">
        <v>2</v>
      </c>
      <c r="G40" s="3" t="s">
        <v>106</v>
      </c>
      <c r="H40" s="3" t="s">
        <v>81</v>
      </c>
    </row>
    <row r="41" spans="1:8" ht="19.95" customHeight="1">
      <c r="A41" s="5">
        <v>46300</v>
      </c>
      <c r="B41" s="3" t="s">
        <v>5</v>
      </c>
      <c r="C41" s="3" t="s">
        <v>7</v>
      </c>
      <c r="D41" s="3" t="s">
        <v>36</v>
      </c>
      <c r="E41" s="3" t="s">
        <v>105</v>
      </c>
      <c r="F41" s="6">
        <v>4</v>
      </c>
      <c r="G41" s="3" t="s">
        <v>106</v>
      </c>
      <c r="H41" s="3" t="s">
        <v>81</v>
      </c>
    </row>
    <row r="42" spans="1:8" ht="19.95" customHeight="1">
      <c r="A42" s="5">
        <v>46300</v>
      </c>
      <c r="B42" s="3" t="s">
        <v>5</v>
      </c>
      <c r="C42" s="3" t="s">
        <v>7</v>
      </c>
      <c r="D42" s="3" t="s">
        <v>37</v>
      </c>
      <c r="E42" s="3" t="s">
        <v>105</v>
      </c>
      <c r="F42" s="6">
        <v>6</v>
      </c>
      <c r="G42" s="3" t="s">
        <v>106</v>
      </c>
      <c r="H42" s="3" t="s">
        <v>81</v>
      </c>
    </row>
    <row r="43" spans="1:8" ht="19.95" customHeight="1">
      <c r="A43" s="5">
        <v>46300</v>
      </c>
      <c r="B43" s="3" t="s">
        <v>5</v>
      </c>
      <c r="C43" s="3" t="s">
        <v>7</v>
      </c>
      <c r="D43" s="3" t="s">
        <v>38</v>
      </c>
      <c r="E43" s="3" t="s">
        <v>105</v>
      </c>
      <c r="F43" s="6">
        <v>8</v>
      </c>
      <c r="G43" s="3" t="s">
        <v>106</v>
      </c>
      <c r="H43" s="3" t="s">
        <v>81</v>
      </c>
    </row>
    <row r="44" spans="1:8" ht="19.95" customHeight="1">
      <c r="A44" s="5">
        <v>46300</v>
      </c>
      <c r="B44" s="3" t="s">
        <v>5</v>
      </c>
      <c r="C44" s="3" t="s">
        <v>7</v>
      </c>
      <c r="D44" s="3" t="s">
        <v>39</v>
      </c>
      <c r="E44" s="3" t="s">
        <v>105</v>
      </c>
      <c r="F44" s="6">
        <v>2</v>
      </c>
      <c r="G44" s="3" t="s">
        <v>106</v>
      </c>
      <c r="H44" s="3" t="s">
        <v>81</v>
      </c>
    </row>
    <row r="45" spans="1:8" ht="19.95" customHeight="1">
      <c r="A45" s="5">
        <v>46300</v>
      </c>
      <c r="B45" s="3" t="s">
        <v>5</v>
      </c>
      <c r="C45" s="3" t="s">
        <v>7</v>
      </c>
      <c r="D45" s="3" t="s">
        <v>40</v>
      </c>
      <c r="E45" s="3" t="s">
        <v>105</v>
      </c>
      <c r="F45" s="6">
        <v>4</v>
      </c>
      <c r="G45" s="3" t="s">
        <v>106</v>
      </c>
      <c r="H45" s="3" t="s">
        <v>81</v>
      </c>
    </row>
    <row r="46" spans="1:8" ht="19.95" customHeight="1">
      <c r="A46" s="5">
        <v>46301</v>
      </c>
      <c r="B46" s="3" t="s">
        <v>5</v>
      </c>
      <c r="C46" s="3" t="s">
        <v>7</v>
      </c>
      <c r="D46" s="3" t="s">
        <v>33</v>
      </c>
      <c r="E46" s="3" t="s">
        <v>105</v>
      </c>
      <c r="F46" s="6">
        <v>9</v>
      </c>
      <c r="G46" s="3" t="s">
        <v>106</v>
      </c>
      <c r="H46" s="3" t="s">
        <v>81</v>
      </c>
    </row>
    <row r="47" spans="1:8" ht="19.95" customHeight="1">
      <c r="A47" s="5">
        <v>46301</v>
      </c>
      <c r="B47" s="3" t="s">
        <v>5</v>
      </c>
      <c r="C47" s="3" t="s">
        <v>7</v>
      </c>
      <c r="D47" s="3" t="s">
        <v>34</v>
      </c>
      <c r="E47" s="3" t="s">
        <v>105</v>
      </c>
      <c r="F47" s="6">
        <v>3</v>
      </c>
      <c r="G47" s="3" t="s">
        <v>106</v>
      </c>
      <c r="H47" s="3" t="s">
        <v>81</v>
      </c>
    </row>
    <row r="48" spans="1:8" ht="19.95" customHeight="1">
      <c r="A48" s="5">
        <v>46301</v>
      </c>
      <c r="B48" s="3" t="s">
        <v>5</v>
      </c>
      <c r="C48" s="3" t="s">
        <v>7</v>
      </c>
      <c r="D48" s="3" t="s">
        <v>35</v>
      </c>
      <c r="E48" s="3" t="s">
        <v>105</v>
      </c>
      <c r="F48" s="6">
        <v>5</v>
      </c>
      <c r="G48" s="3" t="s">
        <v>106</v>
      </c>
      <c r="H48" s="3" t="s">
        <v>81</v>
      </c>
    </row>
    <row r="49" spans="1:8" ht="19.95" customHeight="1">
      <c r="A49" s="5">
        <v>46301</v>
      </c>
      <c r="B49" s="3" t="s">
        <v>5</v>
      </c>
      <c r="C49" s="3" t="s">
        <v>7</v>
      </c>
      <c r="D49" s="3" t="s">
        <v>36</v>
      </c>
      <c r="E49" s="3" t="s">
        <v>105</v>
      </c>
      <c r="F49" s="6">
        <v>7</v>
      </c>
      <c r="G49" s="3" t="s">
        <v>106</v>
      </c>
      <c r="H49" s="3" t="s">
        <v>81</v>
      </c>
    </row>
    <row r="50" spans="1:8" ht="19.95" customHeight="1">
      <c r="A50" s="5">
        <v>46301</v>
      </c>
      <c r="B50" s="3" t="s">
        <v>5</v>
      </c>
      <c r="C50" s="3" t="s">
        <v>7</v>
      </c>
      <c r="D50" s="3" t="s">
        <v>37</v>
      </c>
      <c r="E50" s="3" t="s">
        <v>105</v>
      </c>
      <c r="F50" s="6">
        <v>9</v>
      </c>
      <c r="G50" s="3" t="s">
        <v>106</v>
      </c>
      <c r="H50" s="3" t="s">
        <v>81</v>
      </c>
    </row>
    <row r="51" spans="1:8" ht="19.95" customHeight="1">
      <c r="A51" s="5">
        <v>46301</v>
      </c>
      <c r="B51" s="3" t="s">
        <v>5</v>
      </c>
      <c r="C51" s="3" t="s">
        <v>7</v>
      </c>
      <c r="D51" s="3" t="s">
        <v>38</v>
      </c>
      <c r="E51" s="3" t="s">
        <v>105</v>
      </c>
      <c r="F51" s="6">
        <v>3</v>
      </c>
      <c r="G51" s="3" t="s">
        <v>106</v>
      </c>
      <c r="H51" s="3" t="s">
        <v>81</v>
      </c>
    </row>
    <row r="52" spans="1:8" ht="19.95" customHeight="1">
      <c r="A52" s="5">
        <v>46301</v>
      </c>
      <c r="B52" s="3" t="s">
        <v>5</v>
      </c>
      <c r="C52" s="3" t="s">
        <v>7</v>
      </c>
      <c r="D52" s="3" t="s">
        <v>39</v>
      </c>
      <c r="E52" s="3" t="s">
        <v>105</v>
      </c>
      <c r="F52" s="6">
        <v>5</v>
      </c>
      <c r="G52" s="3" t="s">
        <v>106</v>
      </c>
      <c r="H52" s="3" t="s">
        <v>81</v>
      </c>
    </row>
    <row r="53" spans="1:8" ht="19.95" customHeight="1">
      <c r="A53" s="5">
        <v>46301</v>
      </c>
      <c r="B53" s="3" t="s">
        <v>5</v>
      </c>
      <c r="C53" s="3" t="s">
        <v>7</v>
      </c>
      <c r="D53" s="3" t="s">
        <v>40</v>
      </c>
      <c r="E53" s="3" t="s">
        <v>105</v>
      </c>
      <c r="F53" s="6">
        <v>7</v>
      </c>
      <c r="G53" s="3" t="s">
        <v>106</v>
      </c>
      <c r="H53" s="3" t="s">
        <v>81</v>
      </c>
    </row>
    <row r="54" spans="1:8" ht="19.95" customHeight="1">
      <c r="A54" s="5">
        <v>46302</v>
      </c>
      <c r="B54" s="3" t="s">
        <v>5</v>
      </c>
      <c r="C54" s="3" t="s">
        <v>7</v>
      </c>
      <c r="D54" s="3" t="s">
        <v>33</v>
      </c>
      <c r="E54" s="3" t="s">
        <v>105</v>
      </c>
      <c r="F54" s="6">
        <v>4</v>
      </c>
      <c r="G54" s="3" t="s">
        <v>106</v>
      </c>
      <c r="H54" s="3" t="s">
        <v>81</v>
      </c>
    </row>
    <row r="55" spans="1:8" ht="19.95" customHeight="1">
      <c r="A55" s="5">
        <v>46302</v>
      </c>
      <c r="B55" s="3" t="s">
        <v>5</v>
      </c>
      <c r="C55" s="3" t="s">
        <v>7</v>
      </c>
      <c r="D55" s="3" t="s">
        <v>34</v>
      </c>
      <c r="E55" s="3" t="s">
        <v>105</v>
      </c>
      <c r="F55" s="6">
        <v>6</v>
      </c>
      <c r="G55" s="3" t="s">
        <v>106</v>
      </c>
      <c r="H55" s="3" t="s">
        <v>81</v>
      </c>
    </row>
    <row r="56" spans="1:8" ht="19.95" customHeight="1">
      <c r="A56" s="5">
        <v>46302</v>
      </c>
      <c r="B56" s="3" t="s">
        <v>5</v>
      </c>
      <c r="C56" s="3" t="s">
        <v>7</v>
      </c>
      <c r="D56" s="3" t="s">
        <v>35</v>
      </c>
      <c r="E56" s="3" t="s">
        <v>105</v>
      </c>
      <c r="F56" s="6">
        <v>8</v>
      </c>
      <c r="G56" s="3" t="s">
        <v>106</v>
      </c>
      <c r="H56" s="3" t="s">
        <v>81</v>
      </c>
    </row>
    <row r="57" spans="1:8" ht="19.95" customHeight="1">
      <c r="A57" s="5">
        <v>46302</v>
      </c>
      <c r="B57" s="3" t="s">
        <v>5</v>
      </c>
      <c r="C57" s="3" t="s">
        <v>7</v>
      </c>
      <c r="D57" s="3" t="s">
        <v>36</v>
      </c>
      <c r="E57" s="3" t="s">
        <v>105</v>
      </c>
      <c r="F57" s="6">
        <v>2</v>
      </c>
      <c r="G57" s="3" t="s">
        <v>106</v>
      </c>
      <c r="H57" s="3" t="s">
        <v>81</v>
      </c>
    </row>
    <row r="58" spans="1:8" ht="19.95" customHeight="1">
      <c r="A58" s="5">
        <v>46302</v>
      </c>
      <c r="B58" s="3" t="s">
        <v>5</v>
      </c>
      <c r="C58" s="3" t="s">
        <v>7</v>
      </c>
      <c r="D58" s="3" t="s">
        <v>37</v>
      </c>
      <c r="E58" s="3" t="s">
        <v>105</v>
      </c>
      <c r="F58" s="6">
        <v>4</v>
      </c>
      <c r="G58" s="3" t="s">
        <v>106</v>
      </c>
      <c r="H58" s="3" t="s">
        <v>81</v>
      </c>
    </row>
    <row r="59" spans="1:8" ht="19.95" customHeight="1">
      <c r="A59" s="5">
        <v>46302</v>
      </c>
      <c r="B59" s="3" t="s">
        <v>5</v>
      </c>
      <c r="C59" s="3" t="s">
        <v>7</v>
      </c>
      <c r="D59" s="3" t="s">
        <v>38</v>
      </c>
      <c r="E59" s="3" t="s">
        <v>105</v>
      </c>
      <c r="F59" s="6">
        <v>6</v>
      </c>
      <c r="G59" s="3" t="s">
        <v>106</v>
      </c>
      <c r="H59" s="3" t="s">
        <v>81</v>
      </c>
    </row>
    <row r="60" spans="1:8" ht="19.95" customHeight="1">
      <c r="A60" s="5">
        <v>46302</v>
      </c>
      <c r="B60" s="3" t="s">
        <v>5</v>
      </c>
      <c r="C60" s="3" t="s">
        <v>7</v>
      </c>
      <c r="D60" s="3" t="s">
        <v>39</v>
      </c>
      <c r="E60" s="3" t="s">
        <v>105</v>
      </c>
      <c r="F60" s="6">
        <v>8</v>
      </c>
      <c r="G60" s="3" t="s">
        <v>106</v>
      </c>
      <c r="H60" s="3" t="s">
        <v>81</v>
      </c>
    </row>
    <row r="61" spans="1:8" ht="19.95" customHeight="1">
      <c r="A61" s="5">
        <v>46302</v>
      </c>
      <c r="B61" s="3" t="s">
        <v>5</v>
      </c>
      <c r="C61" s="3" t="s">
        <v>7</v>
      </c>
      <c r="D61" s="3" t="s">
        <v>40</v>
      </c>
      <c r="E61" s="3" t="s">
        <v>105</v>
      </c>
      <c r="F61" s="6">
        <v>2</v>
      </c>
      <c r="G61" s="3" t="s">
        <v>106</v>
      </c>
      <c r="H61" s="3" t="s">
        <v>81</v>
      </c>
    </row>
  </sheetData>
  <mergeCells count="2">
    <mergeCell ref="A1:H2"/>
    <mergeCell ref="A3:H3"/>
  </mergeCells>
  <dataValidations count="1">
    <dataValidation type="list" sqref="B6:B500" xr:uid="{00000000-0002-0000-0300-000000000000}">
      <formula1>"Ca 1,Ca 2,Ca 3"</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
  <sheetViews>
    <sheetView workbookViewId="0">
      <pane ySplit="5" topLeftCell="A6" activePane="bottomLeft" state="frozen"/>
      <selection pane="bottomLeft" sqref="A1:F2"/>
    </sheetView>
  </sheetViews>
  <sheetFormatPr defaultRowHeight="13.8"/>
  <cols>
    <col min="1" max="1" width="17" customWidth="1"/>
    <col min="2" max="2" width="30" customWidth="1"/>
    <col min="3" max="3" width="15" customWidth="1"/>
    <col min="4" max="4" width="23" customWidth="1"/>
    <col min="5" max="5" width="18" customWidth="1"/>
    <col min="6" max="6" width="34" customWidth="1"/>
  </cols>
  <sheetData>
    <row r="1" spans="1:6" ht="24" customHeight="1">
      <c r="A1" s="24" t="s">
        <v>107</v>
      </c>
      <c r="B1" s="24"/>
      <c r="C1" s="24"/>
      <c r="D1" s="24"/>
      <c r="E1" s="24"/>
      <c r="F1" s="24"/>
    </row>
    <row r="2" spans="1:6" ht="24" customHeight="1">
      <c r="A2" s="24"/>
      <c r="B2" s="24"/>
      <c r="C2" s="24"/>
      <c r="D2" s="24"/>
      <c r="E2" s="24"/>
      <c r="F2" s="24"/>
    </row>
    <row r="3" spans="1:6" ht="24" customHeight="1">
      <c r="A3" s="25" t="s">
        <v>108</v>
      </c>
      <c r="B3" s="25"/>
      <c r="C3" s="25"/>
      <c r="D3" s="25"/>
      <c r="E3" s="25"/>
      <c r="F3" s="25"/>
    </row>
    <row r="5" spans="1:6" ht="37.950000000000003" customHeight="1">
      <c r="A5" s="2" t="s">
        <v>109</v>
      </c>
      <c r="B5" s="2" t="s">
        <v>110</v>
      </c>
      <c r="C5" s="2" t="s">
        <v>111</v>
      </c>
      <c r="D5" s="2" t="s">
        <v>112</v>
      </c>
      <c r="E5" s="2" t="s">
        <v>113</v>
      </c>
      <c r="F5" s="2" t="s">
        <v>80</v>
      </c>
    </row>
    <row r="6" spans="1:6" ht="19.95" customHeight="1">
      <c r="A6" s="3" t="s">
        <v>7</v>
      </c>
      <c r="B6" s="3" t="s">
        <v>114</v>
      </c>
      <c r="C6" s="3" t="s">
        <v>10</v>
      </c>
      <c r="D6" s="3">
        <v>2.2999999999999998</v>
      </c>
      <c r="E6" s="3" t="s">
        <v>5</v>
      </c>
      <c r="F6" s="3" t="s">
        <v>115</v>
      </c>
    </row>
    <row r="7" spans="1:6" ht="19.95" customHeight="1">
      <c r="A7" s="3" t="s">
        <v>116</v>
      </c>
      <c r="B7" s="3" t="s">
        <v>117</v>
      </c>
      <c r="C7" s="3" t="s">
        <v>118</v>
      </c>
      <c r="D7" s="3">
        <v>2.5</v>
      </c>
      <c r="E7" s="3" t="s">
        <v>5</v>
      </c>
      <c r="F7" s="3" t="s">
        <v>119</v>
      </c>
    </row>
  </sheetData>
  <mergeCells count="2">
    <mergeCell ref="A1:F2"/>
    <mergeCell ref="A3:F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workbookViewId="0">
      <pane ySplit="5" topLeftCell="A6" activePane="bottomLeft" state="frozen"/>
      <selection pane="bottomLeft" sqref="A1:E2"/>
    </sheetView>
  </sheetViews>
  <sheetFormatPr defaultRowHeight="13.8"/>
  <cols>
    <col min="1" max="1" width="15" customWidth="1"/>
    <col min="2" max="2" width="28" customWidth="1"/>
    <col min="3" max="3" width="20" customWidth="1"/>
    <col min="4" max="4" width="25" customWidth="1"/>
    <col min="5" max="5" width="56" customWidth="1"/>
  </cols>
  <sheetData>
    <row r="1" spans="1:5" ht="24" customHeight="1">
      <c r="A1" s="24" t="s">
        <v>120</v>
      </c>
      <c r="B1" s="24"/>
      <c r="C1" s="24"/>
      <c r="D1" s="24"/>
      <c r="E1" s="24"/>
    </row>
    <row r="2" spans="1:5" ht="24" customHeight="1">
      <c r="A2" s="24"/>
      <c r="B2" s="24"/>
      <c r="C2" s="24"/>
      <c r="D2" s="24"/>
      <c r="E2" s="24"/>
    </row>
    <row r="3" spans="1:5" ht="24" customHeight="1">
      <c r="A3" s="25" t="s">
        <v>121</v>
      </c>
      <c r="B3" s="25"/>
      <c r="C3" s="25"/>
      <c r="D3" s="25"/>
      <c r="E3" s="25"/>
    </row>
    <row r="5" spans="1:5" ht="37.950000000000003" customHeight="1">
      <c r="A5" s="2" t="s">
        <v>122</v>
      </c>
      <c r="B5" s="2" t="s">
        <v>46</v>
      </c>
      <c r="C5" s="2" t="s">
        <v>123</v>
      </c>
      <c r="D5" s="2" t="s">
        <v>124</v>
      </c>
      <c r="E5" s="2" t="s">
        <v>125</v>
      </c>
    </row>
    <row r="6" spans="1:5" ht="19.95" customHeight="1">
      <c r="A6" s="3" t="s">
        <v>88</v>
      </c>
      <c r="B6" s="3" t="s">
        <v>49</v>
      </c>
      <c r="C6" s="3" t="s">
        <v>76</v>
      </c>
      <c r="D6" s="3" t="s">
        <v>126</v>
      </c>
      <c r="E6" s="3" t="s">
        <v>127</v>
      </c>
    </row>
    <row r="7" spans="1:5" ht="19.95" customHeight="1">
      <c r="A7" s="3" t="s">
        <v>92</v>
      </c>
      <c r="B7" s="3" t="s">
        <v>50</v>
      </c>
      <c r="C7" s="3" t="s">
        <v>76</v>
      </c>
      <c r="D7" s="3" t="s">
        <v>126</v>
      </c>
      <c r="E7" s="3" t="s">
        <v>128</v>
      </c>
    </row>
    <row r="8" spans="1:5" ht="19.95" customHeight="1">
      <c r="A8" s="3" t="s">
        <v>94</v>
      </c>
      <c r="B8" s="3" t="s">
        <v>51</v>
      </c>
      <c r="C8" s="3" t="s">
        <v>76</v>
      </c>
      <c r="D8" s="3" t="s">
        <v>126</v>
      </c>
      <c r="E8" s="3" t="s">
        <v>129</v>
      </c>
    </row>
    <row r="9" spans="1:5" ht="19.95" customHeight="1">
      <c r="A9" s="3" t="s">
        <v>96</v>
      </c>
      <c r="B9" s="3" t="s">
        <v>52</v>
      </c>
      <c r="C9" s="3" t="s">
        <v>76</v>
      </c>
      <c r="D9" s="3" t="s">
        <v>126</v>
      </c>
      <c r="E9" s="3" t="s">
        <v>130</v>
      </c>
    </row>
    <row r="10" spans="1:5" ht="19.95" customHeight="1">
      <c r="A10" s="3" t="s">
        <v>98</v>
      </c>
      <c r="B10" s="3" t="s">
        <v>53</v>
      </c>
      <c r="C10" s="3" t="s">
        <v>76</v>
      </c>
      <c r="D10" s="3" t="s">
        <v>126</v>
      </c>
      <c r="E10" s="3" t="s">
        <v>131</v>
      </c>
    </row>
    <row r="11" spans="1:5" ht="19.95" customHeight="1">
      <c r="A11" s="3" t="s">
        <v>132</v>
      </c>
      <c r="B11" s="3" t="s">
        <v>133</v>
      </c>
      <c r="C11" s="3" t="s">
        <v>78</v>
      </c>
      <c r="D11" s="3" t="s">
        <v>103</v>
      </c>
      <c r="E11" s="3" t="s">
        <v>134</v>
      </c>
    </row>
    <row r="12" spans="1:5" ht="19.95" customHeight="1">
      <c r="A12" s="3" t="s">
        <v>135</v>
      </c>
      <c r="B12" s="3" t="s">
        <v>136</v>
      </c>
      <c r="C12" s="3" t="s">
        <v>77</v>
      </c>
      <c r="D12" s="3" t="s">
        <v>137</v>
      </c>
      <c r="E12" s="3" t="s">
        <v>138</v>
      </c>
    </row>
  </sheetData>
  <mergeCells count="2">
    <mergeCell ref="A1:E2"/>
    <mergeCell ref="A3:E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1"/>
  <sheetViews>
    <sheetView workbookViewId="0">
      <pane ySplit="6" topLeftCell="A7" activePane="bottomLeft" state="frozen"/>
      <selection pane="bottomLeft" sqref="A1:N2"/>
    </sheetView>
  </sheetViews>
  <sheetFormatPr defaultRowHeight="13.8"/>
  <cols>
    <col min="1" max="1" width="17" customWidth="1"/>
    <col min="2" max="3" width="18" customWidth="1"/>
    <col min="4" max="4" width="17" customWidth="1"/>
    <col min="5" max="5" width="23" customWidth="1"/>
    <col min="6" max="7" width="16" customWidth="1"/>
    <col min="8" max="9" width="19" customWidth="1"/>
    <col min="10" max="10" width="16" customWidth="1"/>
    <col min="11" max="11" width="17" customWidth="1"/>
    <col min="12" max="12" width="16" customWidth="1"/>
    <col min="13" max="13" width="18" customWidth="1"/>
    <col min="14" max="14" width="23" customWidth="1"/>
    <col min="16" max="17" width="17" customWidth="1"/>
  </cols>
  <sheetData>
    <row r="1" spans="1:17" ht="25.05" customHeight="1">
      <c r="A1" s="24" t="s">
        <v>139</v>
      </c>
      <c r="B1" s="24"/>
      <c r="C1" s="24"/>
      <c r="D1" s="24"/>
      <c r="E1" s="24"/>
      <c r="F1" s="24"/>
      <c r="G1" s="24"/>
      <c r="H1" s="24"/>
      <c r="I1" s="24"/>
      <c r="J1" s="24"/>
      <c r="K1" s="24"/>
      <c r="L1" s="24"/>
      <c r="M1" s="24"/>
      <c r="N1" s="24"/>
    </row>
    <row r="2" spans="1:17" ht="25.05" customHeight="1">
      <c r="A2" s="24"/>
      <c r="B2" s="24"/>
      <c r="C2" s="24"/>
      <c r="D2" s="24"/>
      <c r="E2" s="24"/>
      <c r="F2" s="24"/>
      <c r="G2" s="24"/>
      <c r="H2" s="24"/>
      <c r="I2" s="24"/>
      <c r="J2" s="24"/>
      <c r="K2" s="24"/>
      <c r="L2" s="24"/>
      <c r="M2" s="24"/>
      <c r="N2" s="24"/>
    </row>
    <row r="3" spans="1:17">
      <c r="A3" s="25" t="s">
        <v>140</v>
      </c>
      <c r="B3" s="25"/>
      <c r="C3" s="25"/>
      <c r="D3" s="25"/>
      <c r="E3" s="25"/>
      <c r="F3" s="25"/>
      <c r="G3" s="25"/>
      <c r="H3" s="25"/>
      <c r="I3" s="25"/>
      <c r="J3" s="25"/>
      <c r="K3" s="25"/>
      <c r="L3" s="25"/>
      <c r="M3" s="25"/>
      <c r="N3" s="25"/>
    </row>
    <row r="6" spans="1:17" ht="34.049999999999997" customHeight="1">
      <c r="A6" s="1" t="s">
        <v>66</v>
      </c>
      <c r="B6" s="1" t="s">
        <v>25</v>
      </c>
      <c r="C6" s="1" t="s">
        <v>141</v>
      </c>
      <c r="D6" s="1" t="s">
        <v>27</v>
      </c>
      <c r="E6" s="1" t="s">
        <v>79</v>
      </c>
      <c r="F6" s="1" t="s">
        <v>29</v>
      </c>
      <c r="G6" s="1" t="s">
        <v>30</v>
      </c>
      <c r="H6" s="1" t="s">
        <v>76</v>
      </c>
      <c r="I6" s="1" t="s">
        <v>77</v>
      </c>
      <c r="J6" s="1" t="s">
        <v>78</v>
      </c>
      <c r="K6" s="1" t="s">
        <v>32</v>
      </c>
      <c r="L6" s="1" t="s">
        <v>142</v>
      </c>
      <c r="M6" s="1" t="s">
        <v>143</v>
      </c>
      <c r="N6" s="1" t="s">
        <v>144</v>
      </c>
      <c r="P6" s="15" t="s">
        <v>145</v>
      </c>
      <c r="Q6" s="15" t="s">
        <v>146</v>
      </c>
    </row>
    <row r="7" spans="1:17" ht="24" customHeight="1">
      <c r="A7" s="9">
        <f>'OEE Dashboard'!$U$2-6</f>
        <v>46296</v>
      </c>
      <c r="B7" s="10">
        <f>SUMIFS('Production Data'!$G$6:$G$1000,'Production Data'!$A$6:$A$1000,$A7,'Production Data'!$B$6:$B$1000,'OEE Dashboard'!$Y$2,'Production Data'!$C$6:$C$1000,'OEE Dashboard'!$AD$2)</f>
        <v>450</v>
      </c>
      <c r="C7" s="10">
        <f>SUMIFS('Production Data'!$L$6:$L$1000,'Production Data'!$A$6:$A$1000,$A7,'Production Data'!$B$6:$B$1000,'OEE Dashboard'!$Y$2,'Production Data'!$C$6:$C$1000,'OEE Dashboard'!$AD$2)</f>
        <v>47</v>
      </c>
      <c r="D7" s="10">
        <f>SUMIFS('Production Data'!$M$6:$M$1000,'Production Data'!$A$6:$A$1000,$A7,'Production Data'!$B$6:$B$1000,'OEE Dashboard'!$Y$2,'Production Data'!$C$6:$C$1000,'OEE Dashboard'!$AD$2)</f>
        <v>403</v>
      </c>
      <c r="E7" s="10">
        <f>SUMIFS('Production Data'!$R$6:$R$1000,'Production Data'!$A$6:$A$1000,$A7,'Production Data'!$B$6:$B$1000,'OEE Dashboard'!$Y$2,'Production Data'!$C$6:$C$1000,'OEE Dashboard'!$AD$2)</f>
        <v>21047.299999999996</v>
      </c>
      <c r="F7" s="10">
        <f>SUMIFS('Production Data'!$I$6:$I$1000,'Production Data'!$A$6:$A$1000,$A7,'Production Data'!$B$6:$B$1000,'OEE Dashboard'!$Y$2,'Production Data'!$C$6:$C$1000,'OEE Dashboard'!$AD$2)</f>
        <v>9151</v>
      </c>
      <c r="G7" s="10">
        <f>SUMIFS('Production Data'!$K$6:$K$1000,'Production Data'!$A$6:$A$1000,$A7,'Production Data'!$B$6:$B$1000,'OEE Dashboard'!$Y$2,'Production Data'!$C$6:$C$1000,'OEE Dashboard'!$AD$2)</f>
        <v>9111</v>
      </c>
      <c r="H7" s="11">
        <f t="shared" ref="H7:H13" si="0">IFERROR(D7/B7,0)</f>
        <v>0.89555555555555555</v>
      </c>
      <c r="I7" s="11">
        <f t="shared" ref="I7:I13" si="1">IFERROR(E7/(D7*60),0)</f>
        <v>0.87044251447477239</v>
      </c>
      <c r="J7" s="11">
        <f t="shared" ref="J7:J13" si="2">IFERROR(G7/F7,0)</f>
        <v>0.99562889301715662</v>
      </c>
      <c r="K7" s="12">
        <f t="shared" ref="K7:K13" si="3">H7*I7*J7</f>
        <v>0.77612222222222205</v>
      </c>
      <c r="L7" s="11">
        <f>'OEE Dashboard'!$AA$4</f>
        <v>0.85</v>
      </c>
      <c r="M7" s="11">
        <f t="shared" ref="M7:M13" si="4">K7-L7</f>
        <v>-7.3877777777777931E-2</v>
      </c>
      <c r="N7" s="10" t="str">
        <f t="shared" ref="N7:N13" si="5">IF(K7&gt;=L7,"Đạt mục tiêu","Cần cải tiến")</f>
        <v>Cần cải tiến</v>
      </c>
      <c r="P7" t="str">
        <f t="shared" ref="P7:P13" si="6">TEXT(A7,"dd/mm")</f>
        <v>01/10</v>
      </c>
      <c r="Q7" s="16">
        <f t="shared" ref="Q7:Q13" si="7">K7*100</f>
        <v>77.612222222222201</v>
      </c>
    </row>
    <row r="8" spans="1:17" ht="24" customHeight="1">
      <c r="A8" s="9">
        <f>'OEE Dashboard'!$U$2-5</f>
        <v>46297</v>
      </c>
      <c r="B8" s="10">
        <f>SUMIFS('Production Data'!$G$6:$G$1000,'Production Data'!$A$6:$A$1000,$A8,'Production Data'!$B$6:$B$1000,'OEE Dashboard'!$Y$2,'Production Data'!$C$6:$C$1000,'OEE Dashboard'!$AD$2)</f>
        <v>450</v>
      </c>
      <c r="C8" s="10">
        <f>SUMIFS('Production Data'!$L$6:$L$1000,'Production Data'!$A$6:$A$1000,$A8,'Production Data'!$B$6:$B$1000,'OEE Dashboard'!$Y$2,'Production Data'!$C$6:$C$1000,'OEE Dashboard'!$AD$2)</f>
        <v>49</v>
      </c>
      <c r="D8" s="10">
        <f>SUMIFS('Production Data'!$M$6:$M$1000,'Production Data'!$A$6:$A$1000,$A8,'Production Data'!$B$6:$B$1000,'OEE Dashboard'!$Y$2,'Production Data'!$C$6:$C$1000,'OEE Dashboard'!$AD$2)</f>
        <v>401</v>
      </c>
      <c r="E8" s="10">
        <f>SUMIFS('Production Data'!$R$6:$R$1000,'Production Data'!$A$6:$A$1000,$A8,'Production Data'!$B$6:$B$1000,'OEE Dashboard'!$Y$2,'Production Data'!$C$6:$C$1000,'OEE Dashboard'!$AD$2)</f>
        <v>21247.4</v>
      </c>
      <c r="F8" s="10">
        <f>SUMIFS('Production Data'!$I$6:$I$1000,'Production Data'!$A$6:$A$1000,$A8,'Production Data'!$B$6:$B$1000,'OEE Dashboard'!$Y$2,'Production Data'!$C$6:$C$1000,'OEE Dashboard'!$AD$2)</f>
        <v>9238</v>
      </c>
      <c r="G8" s="10">
        <f>SUMIFS('Production Data'!$K$6:$K$1000,'Production Data'!$A$6:$A$1000,$A8,'Production Data'!$B$6:$B$1000,'OEE Dashboard'!$Y$2,'Production Data'!$C$6:$C$1000,'OEE Dashboard'!$AD$2)</f>
        <v>9190</v>
      </c>
      <c r="H8" s="11">
        <f t="shared" si="0"/>
        <v>0.89111111111111108</v>
      </c>
      <c r="I8" s="11">
        <f t="shared" si="1"/>
        <v>0.88310058187863683</v>
      </c>
      <c r="J8" s="11">
        <f t="shared" si="2"/>
        <v>0.99480407014505301</v>
      </c>
      <c r="K8" s="12">
        <f t="shared" si="3"/>
        <v>0.78285185185185191</v>
      </c>
      <c r="L8" s="11">
        <f>'OEE Dashboard'!$AA$4</f>
        <v>0.85</v>
      </c>
      <c r="M8" s="11">
        <f t="shared" si="4"/>
        <v>-6.7148148148148068E-2</v>
      </c>
      <c r="N8" s="10" t="str">
        <f t="shared" si="5"/>
        <v>Cần cải tiến</v>
      </c>
      <c r="P8" t="str">
        <f t="shared" si="6"/>
        <v>02/10</v>
      </c>
      <c r="Q8" s="16">
        <f t="shared" si="7"/>
        <v>78.285185185185185</v>
      </c>
    </row>
    <row r="9" spans="1:17" ht="24" customHeight="1">
      <c r="A9" s="9">
        <f>'OEE Dashboard'!$U$2-4</f>
        <v>46298</v>
      </c>
      <c r="B9" s="10">
        <f>SUMIFS('Production Data'!$G$6:$G$1000,'Production Data'!$A$6:$A$1000,$A9,'Production Data'!$B$6:$B$1000,'OEE Dashboard'!$Y$2,'Production Data'!$C$6:$C$1000,'OEE Dashboard'!$AD$2)</f>
        <v>450</v>
      </c>
      <c r="C9" s="10">
        <f>SUMIFS('Production Data'!$L$6:$L$1000,'Production Data'!$A$6:$A$1000,$A9,'Production Data'!$B$6:$B$1000,'OEE Dashboard'!$Y$2,'Production Data'!$C$6:$C$1000,'OEE Dashboard'!$AD$2)</f>
        <v>48</v>
      </c>
      <c r="D9" s="10">
        <f>SUMIFS('Production Data'!$M$6:$M$1000,'Production Data'!$A$6:$A$1000,$A9,'Production Data'!$B$6:$B$1000,'OEE Dashboard'!$Y$2,'Production Data'!$C$6:$C$1000,'OEE Dashboard'!$AD$2)</f>
        <v>402</v>
      </c>
      <c r="E9" s="10">
        <f>SUMIFS('Production Data'!$R$6:$R$1000,'Production Data'!$A$6:$A$1000,$A9,'Production Data'!$B$6:$B$1000,'OEE Dashboard'!$Y$2,'Production Data'!$C$6:$C$1000,'OEE Dashboard'!$AD$2)</f>
        <v>21426.799999999996</v>
      </c>
      <c r="F9" s="10">
        <f>SUMIFS('Production Data'!$I$6:$I$1000,'Production Data'!$A$6:$A$1000,$A9,'Production Data'!$B$6:$B$1000,'OEE Dashboard'!$Y$2,'Production Data'!$C$6:$C$1000,'OEE Dashboard'!$AD$2)</f>
        <v>9316</v>
      </c>
      <c r="G9" s="10">
        <f>SUMIFS('Production Data'!$K$6:$K$1000,'Production Data'!$A$6:$A$1000,$A9,'Production Data'!$B$6:$B$1000,'OEE Dashboard'!$Y$2,'Production Data'!$C$6:$C$1000,'OEE Dashboard'!$AD$2)</f>
        <v>9276</v>
      </c>
      <c r="H9" s="11">
        <f t="shared" si="0"/>
        <v>0.89333333333333331</v>
      </c>
      <c r="I9" s="11">
        <f t="shared" si="1"/>
        <v>0.88834162520729665</v>
      </c>
      <c r="J9" s="11">
        <f t="shared" si="2"/>
        <v>0.99570631172176904</v>
      </c>
      <c r="K9" s="12">
        <f t="shared" si="3"/>
        <v>0.79017777777777753</v>
      </c>
      <c r="L9" s="11">
        <f>'OEE Dashboard'!$AA$4</f>
        <v>0.85</v>
      </c>
      <c r="M9" s="11">
        <f t="shared" si="4"/>
        <v>-5.9822222222222443E-2</v>
      </c>
      <c r="N9" s="10" t="str">
        <f t="shared" si="5"/>
        <v>Cần cải tiến</v>
      </c>
      <c r="P9" t="str">
        <f t="shared" si="6"/>
        <v>03/10</v>
      </c>
      <c r="Q9" s="16">
        <f t="shared" si="7"/>
        <v>79.017777777777752</v>
      </c>
    </row>
    <row r="10" spans="1:17" ht="24" customHeight="1">
      <c r="A10" s="9">
        <f>'OEE Dashboard'!$U$2-3</f>
        <v>46299</v>
      </c>
      <c r="B10" s="10">
        <f>SUMIFS('Production Data'!$G$6:$G$1000,'Production Data'!$A$6:$A$1000,$A10,'Production Data'!$B$6:$B$1000,'OEE Dashboard'!$Y$2,'Production Data'!$C$6:$C$1000,'OEE Dashboard'!$AD$2)</f>
        <v>450</v>
      </c>
      <c r="C10" s="10">
        <f>SUMIFS('Production Data'!$L$6:$L$1000,'Production Data'!$A$6:$A$1000,$A10,'Production Data'!$B$6:$B$1000,'OEE Dashboard'!$Y$2,'Production Data'!$C$6:$C$1000,'OEE Dashboard'!$AD$2)</f>
        <v>47</v>
      </c>
      <c r="D10" s="10">
        <f>SUMIFS('Production Data'!$M$6:$M$1000,'Production Data'!$A$6:$A$1000,$A10,'Production Data'!$B$6:$B$1000,'OEE Dashboard'!$Y$2,'Production Data'!$C$6:$C$1000,'OEE Dashboard'!$AD$2)</f>
        <v>403</v>
      </c>
      <c r="E10" s="10">
        <f>SUMIFS('Production Data'!$R$6:$R$1000,'Production Data'!$A$6:$A$1000,$A10,'Production Data'!$B$6:$B$1000,'OEE Dashboard'!$Y$2,'Production Data'!$C$6:$C$1000,'OEE Dashboard'!$AD$2)</f>
        <v>21325.599999999999</v>
      </c>
      <c r="F10" s="10">
        <f>SUMIFS('Production Data'!$I$6:$I$1000,'Production Data'!$A$6:$A$1000,$A10,'Production Data'!$B$6:$B$1000,'OEE Dashboard'!$Y$2,'Production Data'!$C$6:$C$1000,'OEE Dashboard'!$AD$2)</f>
        <v>9272</v>
      </c>
      <c r="G10" s="10">
        <f>SUMIFS('Production Data'!$K$6:$K$1000,'Production Data'!$A$6:$A$1000,$A10,'Production Data'!$B$6:$B$1000,'OEE Dashboard'!$Y$2,'Production Data'!$C$6:$C$1000,'OEE Dashboard'!$AD$2)</f>
        <v>9224</v>
      </c>
      <c r="H10" s="11">
        <f t="shared" si="0"/>
        <v>0.89555555555555555</v>
      </c>
      <c r="I10" s="11">
        <f t="shared" si="1"/>
        <v>0.8819520264681554</v>
      </c>
      <c r="J10" s="11">
        <f t="shared" si="2"/>
        <v>0.994823123382226</v>
      </c>
      <c r="K10" s="12">
        <f t="shared" si="3"/>
        <v>0.78574814814814797</v>
      </c>
      <c r="L10" s="11">
        <f>'OEE Dashboard'!$AA$4</f>
        <v>0.85</v>
      </c>
      <c r="M10" s="11">
        <f t="shared" si="4"/>
        <v>-6.4251851851852004E-2</v>
      </c>
      <c r="N10" s="10" t="str">
        <f t="shared" si="5"/>
        <v>Cần cải tiến</v>
      </c>
      <c r="P10" t="str">
        <f t="shared" si="6"/>
        <v>04/10</v>
      </c>
      <c r="Q10" s="16">
        <f t="shared" si="7"/>
        <v>78.5748148148148</v>
      </c>
    </row>
    <row r="11" spans="1:17" ht="24" customHeight="1">
      <c r="A11" s="9">
        <f>'OEE Dashboard'!$U$2-2</f>
        <v>46300</v>
      </c>
      <c r="B11" s="10">
        <f>SUMIFS('Production Data'!$G$6:$G$1000,'Production Data'!$A$6:$A$1000,$A11,'Production Data'!$B$6:$B$1000,'OEE Dashboard'!$Y$2,'Production Data'!$C$6:$C$1000,'OEE Dashboard'!$AD$2)</f>
        <v>450</v>
      </c>
      <c r="C11" s="10">
        <f>SUMIFS('Production Data'!$L$6:$L$1000,'Production Data'!$A$6:$A$1000,$A11,'Production Data'!$B$6:$B$1000,'OEE Dashboard'!$Y$2,'Production Data'!$C$6:$C$1000,'OEE Dashboard'!$AD$2)</f>
        <v>49</v>
      </c>
      <c r="D11" s="10">
        <f>SUMIFS('Production Data'!$M$6:$M$1000,'Production Data'!$A$6:$A$1000,$A11,'Production Data'!$B$6:$B$1000,'OEE Dashboard'!$Y$2,'Production Data'!$C$6:$C$1000,'OEE Dashboard'!$AD$2)</f>
        <v>401</v>
      </c>
      <c r="E11" s="10">
        <f>SUMIFS('Production Data'!$R$6:$R$1000,'Production Data'!$A$6:$A$1000,$A11,'Production Data'!$B$6:$B$1000,'OEE Dashboard'!$Y$2,'Production Data'!$C$6:$C$1000,'OEE Dashboard'!$AD$2)</f>
        <v>21316.400000000001</v>
      </c>
      <c r="F11" s="10">
        <f>SUMIFS('Production Data'!$I$6:$I$1000,'Production Data'!$A$6:$A$1000,$A11,'Production Data'!$B$6:$B$1000,'OEE Dashboard'!$Y$2,'Production Data'!$C$6:$C$1000,'OEE Dashboard'!$AD$2)</f>
        <v>9268</v>
      </c>
      <c r="G11" s="10">
        <f>SUMIFS('Production Data'!$K$6:$K$1000,'Production Data'!$A$6:$A$1000,$A11,'Production Data'!$B$6:$B$1000,'OEE Dashboard'!$Y$2,'Production Data'!$C$6:$C$1000,'OEE Dashboard'!$AD$2)</f>
        <v>9228</v>
      </c>
      <c r="H11" s="11">
        <f t="shared" si="0"/>
        <v>0.89111111111111108</v>
      </c>
      <c r="I11" s="11">
        <f t="shared" si="1"/>
        <v>0.88596841230257695</v>
      </c>
      <c r="J11" s="11">
        <f t="shared" si="2"/>
        <v>0.99568407423392313</v>
      </c>
      <c r="K11" s="12">
        <f t="shared" si="3"/>
        <v>0.78608888888888895</v>
      </c>
      <c r="L11" s="11">
        <f>'OEE Dashboard'!$AA$4</f>
        <v>0.85</v>
      </c>
      <c r="M11" s="11">
        <f t="shared" si="4"/>
        <v>-6.391111111111103E-2</v>
      </c>
      <c r="N11" s="10" t="str">
        <f t="shared" si="5"/>
        <v>Cần cải tiến</v>
      </c>
      <c r="P11" t="str">
        <f t="shared" si="6"/>
        <v>05/10</v>
      </c>
      <c r="Q11" s="16">
        <f t="shared" si="7"/>
        <v>78.608888888888899</v>
      </c>
    </row>
    <row r="12" spans="1:17" ht="24" customHeight="1">
      <c r="A12" s="9">
        <f>'OEE Dashboard'!$U$2-1</f>
        <v>46301</v>
      </c>
      <c r="B12" s="10">
        <f>SUMIFS('Production Data'!$G$6:$G$1000,'Production Data'!$A$6:$A$1000,$A12,'Production Data'!$B$6:$B$1000,'OEE Dashboard'!$Y$2,'Production Data'!$C$6:$C$1000,'OEE Dashboard'!$AD$2)</f>
        <v>450</v>
      </c>
      <c r="C12" s="10">
        <f>SUMIFS('Production Data'!$L$6:$L$1000,'Production Data'!$A$6:$A$1000,$A12,'Production Data'!$B$6:$B$1000,'OEE Dashboard'!$Y$2,'Production Data'!$C$6:$C$1000,'OEE Dashboard'!$AD$2)</f>
        <v>48</v>
      </c>
      <c r="D12" s="10">
        <f>SUMIFS('Production Data'!$M$6:$M$1000,'Production Data'!$A$6:$A$1000,$A12,'Production Data'!$B$6:$B$1000,'OEE Dashboard'!$Y$2,'Production Data'!$C$6:$C$1000,'OEE Dashboard'!$AD$2)</f>
        <v>402</v>
      </c>
      <c r="E12" s="10">
        <f>SUMIFS('Production Data'!$R$6:$R$1000,'Production Data'!$A$6:$A$1000,$A12,'Production Data'!$B$6:$B$1000,'OEE Dashboard'!$Y$2,'Production Data'!$C$6:$C$1000,'OEE Dashboard'!$AD$2)</f>
        <v>21277.3</v>
      </c>
      <c r="F12" s="10">
        <f>SUMIFS('Production Data'!$I$6:$I$1000,'Production Data'!$A$6:$A$1000,$A12,'Production Data'!$B$6:$B$1000,'OEE Dashboard'!$Y$2,'Production Data'!$C$6:$C$1000,'OEE Dashboard'!$AD$2)</f>
        <v>9251</v>
      </c>
      <c r="G12" s="10">
        <f>SUMIFS('Production Data'!$K$6:$K$1000,'Production Data'!$A$6:$A$1000,$A12,'Production Data'!$B$6:$B$1000,'OEE Dashboard'!$Y$2,'Production Data'!$C$6:$C$1000,'OEE Dashboard'!$AD$2)</f>
        <v>9203</v>
      </c>
      <c r="H12" s="11">
        <f t="shared" si="0"/>
        <v>0.89333333333333331</v>
      </c>
      <c r="I12" s="11">
        <f t="shared" si="1"/>
        <v>0.88214344941956879</v>
      </c>
      <c r="J12" s="11">
        <f t="shared" si="2"/>
        <v>0.99481137174359524</v>
      </c>
      <c r="K12" s="12">
        <f t="shared" si="3"/>
        <v>0.78395925925925913</v>
      </c>
      <c r="L12" s="11">
        <f>'OEE Dashboard'!$AA$4</f>
        <v>0.85</v>
      </c>
      <c r="M12" s="11">
        <f t="shared" si="4"/>
        <v>-6.6040740740740844E-2</v>
      </c>
      <c r="N12" s="10" t="str">
        <f t="shared" si="5"/>
        <v>Cần cải tiến</v>
      </c>
      <c r="P12" t="str">
        <f t="shared" si="6"/>
        <v>06/10</v>
      </c>
      <c r="Q12" s="16">
        <f t="shared" si="7"/>
        <v>78.395925925925908</v>
      </c>
    </row>
    <row r="13" spans="1:17" ht="24" customHeight="1">
      <c r="A13" s="9">
        <f>'OEE Dashboard'!$U$2-0</f>
        <v>46302</v>
      </c>
      <c r="B13" s="10">
        <f>SUMIFS('Production Data'!$G$6:$G$1000,'Production Data'!$A$6:$A$1000,$A13,'Production Data'!$B$6:$B$1000,'OEE Dashboard'!$Y$2,'Production Data'!$C$6:$C$1000,'OEE Dashboard'!$AD$2)</f>
        <v>450</v>
      </c>
      <c r="C13" s="10">
        <f>SUMIFS('Production Data'!$L$6:$L$1000,'Production Data'!$A$6:$A$1000,$A13,'Production Data'!$B$6:$B$1000,'OEE Dashboard'!$Y$2,'Production Data'!$C$6:$C$1000,'OEE Dashboard'!$AD$2)</f>
        <v>47</v>
      </c>
      <c r="D13" s="10">
        <f>SUMIFS('Production Data'!$M$6:$M$1000,'Production Data'!$A$6:$A$1000,$A13,'Production Data'!$B$6:$B$1000,'OEE Dashboard'!$Y$2,'Production Data'!$C$6:$C$1000,'OEE Dashboard'!$AD$2)</f>
        <v>403</v>
      </c>
      <c r="E13" s="10">
        <f>SUMIFS('Production Data'!$R$6:$R$1000,'Production Data'!$A$6:$A$1000,$A13,'Production Data'!$B$6:$B$1000,'OEE Dashboard'!$Y$2,'Production Data'!$C$6:$C$1000,'OEE Dashboard'!$AD$2)</f>
        <v>21410.699999999997</v>
      </c>
      <c r="F13" s="10">
        <f>SUMIFS('Production Data'!$I$6:$I$1000,'Production Data'!$A$6:$A$1000,$A13,'Production Data'!$B$6:$B$1000,'OEE Dashboard'!$Y$2,'Production Data'!$C$6:$C$1000,'OEE Dashboard'!$AD$2)</f>
        <v>9309</v>
      </c>
      <c r="G13" s="10">
        <f>SUMIFS('Production Data'!$K$6:$K$1000,'Production Data'!$A$6:$A$1000,$A13,'Production Data'!$B$6:$B$1000,'OEE Dashboard'!$Y$2,'Production Data'!$C$6:$C$1000,'OEE Dashboard'!$AD$2)</f>
        <v>9269</v>
      </c>
      <c r="H13" s="11">
        <f t="shared" si="0"/>
        <v>0.89555555555555555</v>
      </c>
      <c r="I13" s="11">
        <f t="shared" si="1"/>
        <v>0.885471464019851</v>
      </c>
      <c r="J13" s="11">
        <f t="shared" si="2"/>
        <v>0.99570308303792032</v>
      </c>
      <c r="K13" s="12">
        <f t="shared" si="3"/>
        <v>0.78958148148148133</v>
      </c>
      <c r="L13" s="11">
        <f>'OEE Dashboard'!$AA$4</f>
        <v>0.85</v>
      </c>
      <c r="M13" s="11">
        <f t="shared" si="4"/>
        <v>-6.0418518518518649E-2</v>
      </c>
      <c r="N13" s="10" t="str">
        <f t="shared" si="5"/>
        <v>Cần cải tiến</v>
      </c>
      <c r="P13" t="str">
        <f t="shared" si="6"/>
        <v>07/10</v>
      </c>
      <c r="Q13" s="16">
        <f t="shared" si="7"/>
        <v>78.958148148148126</v>
      </c>
    </row>
    <row r="16" spans="1:17" ht="15.6">
      <c r="A16" s="17" t="s">
        <v>147</v>
      </c>
      <c r="B16" s="17"/>
      <c r="C16" s="17"/>
      <c r="D16" s="17"/>
      <c r="E16" s="17"/>
      <c r="F16" s="17"/>
      <c r="G16" s="17"/>
      <c r="H16" s="17"/>
      <c r="I16" s="17"/>
      <c r="J16" s="17"/>
      <c r="K16" s="17"/>
      <c r="L16" s="17"/>
      <c r="M16" s="17"/>
      <c r="N16" s="17"/>
    </row>
    <row r="17" spans="1:14" ht="28.95" customHeight="1">
      <c r="A17" s="26" t="s">
        <v>148</v>
      </c>
      <c r="B17" s="27"/>
      <c r="C17" s="27"/>
      <c r="D17" s="28"/>
      <c r="E17" s="29" t="s">
        <v>149</v>
      </c>
      <c r="F17" s="30"/>
      <c r="G17" s="30"/>
      <c r="H17" s="30"/>
      <c r="I17" s="30"/>
      <c r="J17" s="30"/>
      <c r="K17" s="30"/>
      <c r="L17" s="30"/>
      <c r="M17" s="30"/>
      <c r="N17" s="31"/>
    </row>
    <row r="18" spans="1:14" ht="28.95" customHeight="1">
      <c r="A18" s="26" t="s">
        <v>150</v>
      </c>
      <c r="B18" s="27"/>
      <c r="C18" s="27"/>
      <c r="D18" s="28"/>
      <c r="E18" s="29" t="s">
        <v>151</v>
      </c>
      <c r="F18" s="30"/>
      <c r="G18" s="30"/>
      <c r="H18" s="30"/>
      <c r="I18" s="30"/>
      <c r="J18" s="30"/>
      <c r="K18" s="30"/>
      <c r="L18" s="30"/>
      <c r="M18" s="30"/>
      <c r="N18" s="31"/>
    </row>
    <row r="19" spans="1:14" ht="28.95" customHeight="1">
      <c r="A19" s="26" t="s">
        <v>152</v>
      </c>
      <c r="B19" s="27"/>
      <c r="C19" s="27"/>
      <c r="D19" s="28"/>
      <c r="E19" s="29" t="s">
        <v>153</v>
      </c>
      <c r="F19" s="30"/>
      <c r="G19" s="30"/>
      <c r="H19" s="30"/>
      <c r="I19" s="30"/>
      <c r="J19" s="30"/>
      <c r="K19" s="30"/>
      <c r="L19" s="30"/>
      <c r="M19" s="30"/>
      <c r="N19" s="31"/>
    </row>
    <row r="20" spans="1:14" ht="28.95" customHeight="1">
      <c r="A20" s="26" t="s">
        <v>154</v>
      </c>
      <c r="B20" s="27"/>
      <c r="C20" s="27"/>
      <c r="D20" s="28"/>
      <c r="E20" s="29" t="s">
        <v>155</v>
      </c>
      <c r="F20" s="30"/>
      <c r="G20" s="30"/>
      <c r="H20" s="30"/>
      <c r="I20" s="30"/>
      <c r="J20" s="30"/>
      <c r="K20" s="30"/>
      <c r="L20" s="30"/>
      <c r="M20" s="30"/>
      <c r="N20" s="31"/>
    </row>
    <row r="21" spans="1:14" ht="28.95" customHeight="1">
      <c r="A21" s="26" t="s">
        <v>156</v>
      </c>
      <c r="B21" s="27"/>
      <c r="C21" s="27"/>
      <c r="D21" s="28"/>
      <c r="E21" s="29" t="s">
        <v>157</v>
      </c>
      <c r="F21" s="30"/>
      <c r="G21" s="30"/>
      <c r="H21" s="30"/>
      <c r="I21" s="30"/>
      <c r="J21" s="30"/>
      <c r="K21" s="30"/>
      <c r="L21" s="30"/>
      <c r="M21" s="30"/>
      <c r="N21" s="31"/>
    </row>
  </sheetData>
  <mergeCells count="13">
    <mergeCell ref="A21:D21"/>
    <mergeCell ref="E21:N21"/>
    <mergeCell ref="A18:D18"/>
    <mergeCell ref="E18:N18"/>
    <mergeCell ref="A19:D19"/>
    <mergeCell ref="E19:N19"/>
    <mergeCell ref="A20:D20"/>
    <mergeCell ref="E20:N20"/>
    <mergeCell ref="A1:N2"/>
    <mergeCell ref="A3:N3"/>
    <mergeCell ref="A16:N16"/>
    <mergeCell ref="A17:D17"/>
    <mergeCell ref="E17:N1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0"/>
  <sheetViews>
    <sheetView tabSelected="1" zoomScale="70" zoomScaleNormal="70" workbookViewId="0">
      <pane ySplit="3" topLeftCell="A4" activePane="bottomLeft" state="frozen"/>
      <selection pane="bottomLeft" sqref="A1:L2"/>
    </sheetView>
  </sheetViews>
  <sheetFormatPr defaultRowHeight="13.8"/>
  <cols>
    <col min="1" max="12" width="13" customWidth="1"/>
  </cols>
  <sheetData>
    <row r="1" spans="1:12" ht="28.05" customHeight="1">
      <c r="A1" s="24" t="s">
        <v>158</v>
      </c>
      <c r="B1" s="24"/>
      <c r="C1" s="24"/>
      <c r="D1" s="24"/>
      <c r="E1" s="24"/>
      <c r="F1" s="24"/>
      <c r="G1" s="24"/>
      <c r="H1" s="24"/>
      <c r="I1" s="24"/>
      <c r="J1" s="24"/>
      <c r="K1" s="24"/>
      <c r="L1" s="24"/>
    </row>
    <row r="2" spans="1:12" ht="28.05" customHeight="1">
      <c r="A2" s="24"/>
      <c r="B2" s="24"/>
      <c r="C2" s="24"/>
      <c r="D2" s="24"/>
      <c r="E2" s="24"/>
      <c r="F2" s="24"/>
      <c r="G2" s="24"/>
      <c r="H2" s="24"/>
      <c r="I2" s="24"/>
      <c r="J2" s="24"/>
      <c r="K2" s="24"/>
      <c r="L2" s="24"/>
    </row>
    <row r="3" spans="1:12" ht="22.95" customHeight="1">
      <c r="A3" s="25" t="s">
        <v>159</v>
      </c>
      <c r="B3" s="25"/>
      <c r="C3" s="25"/>
      <c r="D3" s="25"/>
      <c r="E3" s="25"/>
      <c r="F3" s="25"/>
      <c r="G3" s="25"/>
      <c r="H3" s="25"/>
      <c r="I3" s="25"/>
      <c r="J3" s="25"/>
      <c r="K3" s="25"/>
      <c r="L3" s="25"/>
    </row>
    <row r="4" spans="1:12" ht="22.95" customHeight="1"/>
    <row r="5" spans="1:12" ht="22.95" customHeight="1">
      <c r="A5" s="32" t="s">
        <v>160</v>
      </c>
      <c r="B5" s="32"/>
      <c r="C5" s="32"/>
      <c r="D5" s="32"/>
      <c r="E5" s="32"/>
      <c r="F5" s="32"/>
      <c r="G5" s="32"/>
      <c r="H5" s="32"/>
      <c r="I5" s="32"/>
      <c r="J5" s="32"/>
      <c r="K5" s="32"/>
      <c r="L5" s="32"/>
    </row>
    <row r="6" spans="1:12" ht="34.950000000000003" customHeight="1">
      <c r="A6" s="33" t="s">
        <v>161</v>
      </c>
      <c r="B6" s="34"/>
      <c r="C6" s="35"/>
      <c r="D6" s="36" t="s">
        <v>162</v>
      </c>
      <c r="E6" s="37"/>
      <c r="F6" s="37"/>
      <c r="G6" s="37"/>
      <c r="H6" s="37"/>
      <c r="I6" s="37"/>
      <c r="J6" s="37"/>
      <c r="K6" s="37"/>
      <c r="L6" s="38"/>
    </row>
    <row r="7" spans="1:12" ht="34.950000000000003" customHeight="1">
      <c r="A7" s="33" t="s">
        <v>163</v>
      </c>
      <c r="B7" s="34"/>
      <c r="C7" s="35"/>
      <c r="D7" s="36" t="s">
        <v>164</v>
      </c>
      <c r="E7" s="37"/>
      <c r="F7" s="37"/>
      <c r="G7" s="37"/>
      <c r="H7" s="37"/>
      <c r="I7" s="37"/>
      <c r="J7" s="37"/>
      <c r="K7" s="37"/>
      <c r="L7" s="38"/>
    </row>
    <row r="8" spans="1:12" ht="34.950000000000003" customHeight="1">
      <c r="A8" s="33" t="s">
        <v>165</v>
      </c>
      <c r="B8" s="34"/>
      <c r="C8" s="35"/>
      <c r="D8" s="36" t="s">
        <v>166</v>
      </c>
      <c r="E8" s="37"/>
      <c r="F8" s="37"/>
      <c r="G8" s="37"/>
      <c r="H8" s="37"/>
      <c r="I8" s="37"/>
      <c r="J8" s="37"/>
      <c r="K8" s="37"/>
      <c r="L8" s="38"/>
    </row>
    <row r="9" spans="1:12" ht="34.950000000000003" customHeight="1">
      <c r="A9" s="33" t="s">
        <v>167</v>
      </c>
      <c r="B9" s="34"/>
      <c r="C9" s="35"/>
      <c r="D9" s="36" t="s">
        <v>168</v>
      </c>
      <c r="E9" s="37"/>
      <c r="F9" s="37"/>
      <c r="G9" s="37"/>
      <c r="H9" s="37"/>
      <c r="I9" s="37"/>
      <c r="J9" s="37"/>
      <c r="K9" s="37"/>
      <c r="L9" s="38"/>
    </row>
    <row r="10" spans="1:12" ht="34.950000000000003" customHeight="1">
      <c r="A10" s="33" t="s">
        <v>169</v>
      </c>
      <c r="B10" s="34"/>
      <c r="C10" s="35"/>
      <c r="D10" s="36" t="s">
        <v>170</v>
      </c>
      <c r="E10" s="37"/>
      <c r="F10" s="37"/>
      <c r="G10" s="37"/>
      <c r="H10" s="37"/>
      <c r="I10" s="37"/>
      <c r="J10" s="37"/>
      <c r="K10" s="37"/>
      <c r="L10" s="38"/>
    </row>
    <row r="11" spans="1:12" ht="34.950000000000003" customHeight="1">
      <c r="A11" s="33" t="s">
        <v>171</v>
      </c>
      <c r="B11" s="34"/>
      <c r="C11" s="35"/>
      <c r="D11" s="36" t="s">
        <v>172</v>
      </c>
      <c r="E11" s="37"/>
      <c r="F11" s="37"/>
      <c r="G11" s="37"/>
      <c r="H11" s="37"/>
      <c r="I11" s="37"/>
      <c r="J11" s="37"/>
      <c r="K11" s="37"/>
      <c r="L11" s="38"/>
    </row>
    <row r="12" spans="1:12" ht="22.95" customHeight="1"/>
    <row r="13" spans="1:12" ht="22.95" customHeight="1">
      <c r="A13" s="32" t="s">
        <v>173</v>
      </c>
      <c r="B13" s="32"/>
      <c r="C13" s="32"/>
      <c r="D13" s="32"/>
      <c r="E13" s="32"/>
      <c r="F13" s="32"/>
      <c r="G13" s="32"/>
      <c r="H13" s="32"/>
      <c r="I13" s="32"/>
      <c r="J13" s="32"/>
      <c r="K13" s="32"/>
      <c r="L13" s="32"/>
    </row>
    <row r="14" spans="1:12" ht="31.05" customHeight="1">
      <c r="A14" s="33" t="s">
        <v>174</v>
      </c>
      <c r="B14" s="34"/>
      <c r="C14" s="35"/>
      <c r="D14" s="36" t="s">
        <v>175</v>
      </c>
      <c r="E14" s="37"/>
      <c r="F14" s="37"/>
      <c r="G14" s="37"/>
      <c r="H14" s="37"/>
      <c r="I14" s="37"/>
      <c r="J14" s="37"/>
      <c r="K14" s="37"/>
      <c r="L14" s="38"/>
    </row>
    <row r="15" spans="1:12" ht="31.05" customHeight="1">
      <c r="A15" s="33" t="s">
        <v>176</v>
      </c>
      <c r="B15" s="34"/>
      <c r="C15" s="35"/>
      <c r="D15" s="36" t="s">
        <v>177</v>
      </c>
      <c r="E15" s="37"/>
      <c r="F15" s="37"/>
      <c r="G15" s="37"/>
      <c r="H15" s="37"/>
      <c r="I15" s="37"/>
      <c r="J15" s="37"/>
      <c r="K15" s="37"/>
      <c r="L15" s="38"/>
    </row>
    <row r="16" spans="1:12" ht="31.05" customHeight="1">
      <c r="A16" s="33" t="s">
        <v>76</v>
      </c>
      <c r="B16" s="34"/>
      <c r="C16" s="35"/>
      <c r="D16" s="36" t="s">
        <v>178</v>
      </c>
      <c r="E16" s="37"/>
      <c r="F16" s="37"/>
      <c r="G16" s="37"/>
      <c r="H16" s="37"/>
      <c r="I16" s="37"/>
      <c r="J16" s="37"/>
      <c r="K16" s="37"/>
      <c r="L16" s="38"/>
    </row>
    <row r="17" spans="1:12" ht="31.05" customHeight="1">
      <c r="A17" s="33" t="s">
        <v>77</v>
      </c>
      <c r="B17" s="34"/>
      <c r="C17" s="35"/>
      <c r="D17" s="36" t="s">
        <v>179</v>
      </c>
      <c r="E17" s="37"/>
      <c r="F17" s="37"/>
      <c r="G17" s="37"/>
      <c r="H17" s="37"/>
      <c r="I17" s="37"/>
      <c r="J17" s="37"/>
      <c r="K17" s="37"/>
      <c r="L17" s="38"/>
    </row>
    <row r="18" spans="1:12" ht="31.05" customHeight="1">
      <c r="A18" s="33" t="s">
        <v>78</v>
      </c>
      <c r="B18" s="34"/>
      <c r="C18" s="35"/>
      <c r="D18" s="36" t="s">
        <v>180</v>
      </c>
      <c r="E18" s="37"/>
      <c r="F18" s="37"/>
      <c r="G18" s="37"/>
      <c r="H18" s="37"/>
      <c r="I18" s="37"/>
      <c r="J18" s="37"/>
      <c r="K18" s="37"/>
      <c r="L18" s="38"/>
    </row>
    <row r="19" spans="1:12" ht="31.05" customHeight="1">
      <c r="A19" s="33" t="s">
        <v>32</v>
      </c>
      <c r="B19" s="34"/>
      <c r="C19" s="35"/>
      <c r="D19" s="36" t="s">
        <v>181</v>
      </c>
      <c r="E19" s="37"/>
      <c r="F19" s="37"/>
      <c r="G19" s="37"/>
      <c r="H19" s="37"/>
      <c r="I19" s="37"/>
      <c r="J19" s="37"/>
      <c r="K19" s="37"/>
      <c r="L19" s="38"/>
    </row>
    <row r="20" spans="1:12" ht="22.95" customHeight="1"/>
    <row r="21" spans="1:12" ht="22.95" customHeight="1">
      <c r="A21" s="32" t="s">
        <v>182</v>
      </c>
      <c r="B21" s="32"/>
      <c r="C21" s="32"/>
      <c r="D21" s="32"/>
      <c r="E21" s="32"/>
      <c r="F21" s="32"/>
      <c r="G21" s="32"/>
      <c r="H21" s="32"/>
      <c r="I21" s="32"/>
      <c r="J21" s="32"/>
      <c r="K21" s="32"/>
      <c r="L21" s="32"/>
    </row>
    <row r="22" spans="1:12" ht="33" customHeight="1">
      <c r="A22" s="33" t="s">
        <v>183</v>
      </c>
      <c r="B22" s="34"/>
      <c r="C22" s="35"/>
      <c r="D22" s="36" t="s">
        <v>184</v>
      </c>
      <c r="E22" s="37"/>
      <c r="F22" s="37"/>
      <c r="G22" s="37"/>
      <c r="H22" s="37"/>
      <c r="I22" s="37"/>
      <c r="J22" s="37"/>
      <c r="K22" s="37"/>
      <c r="L22" s="38"/>
    </row>
    <row r="23" spans="1:12" ht="33" customHeight="1">
      <c r="A23" s="33" t="s">
        <v>185</v>
      </c>
      <c r="B23" s="34"/>
      <c r="C23" s="35"/>
      <c r="D23" s="36" t="s">
        <v>186</v>
      </c>
      <c r="E23" s="37"/>
      <c r="F23" s="37"/>
      <c r="G23" s="37"/>
      <c r="H23" s="37"/>
      <c r="I23" s="37"/>
      <c r="J23" s="37"/>
      <c r="K23" s="37"/>
      <c r="L23" s="38"/>
    </row>
    <row r="24" spans="1:12" ht="33" customHeight="1">
      <c r="A24" s="33" t="s">
        <v>187</v>
      </c>
      <c r="B24" s="34"/>
      <c r="C24" s="35"/>
      <c r="D24" s="36" t="s">
        <v>188</v>
      </c>
      <c r="E24" s="37"/>
      <c r="F24" s="37"/>
      <c r="G24" s="37"/>
      <c r="H24" s="37"/>
      <c r="I24" s="37"/>
      <c r="J24" s="37"/>
      <c r="K24" s="37"/>
      <c r="L24" s="38"/>
    </row>
    <row r="25" spans="1:12" ht="33" customHeight="1">
      <c r="A25" s="33" t="s">
        <v>189</v>
      </c>
      <c r="B25" s="34"/>
      <c r="C25" s="35"/>
      <c r="D25" s="36" t="s">
        <v>190</v>
      </c>
      <c r="E25" s="37"/>
      <c r="F25" s="37"/>
      <c r="G25" s="37"/>
      <c r="H25" s="37"/>
      <c r="I25" s="37"/>
      <c r="J25" s="37"/>
      <c r="K25" s="37"/>
      <c r="L25" s="38"/>
    </row>
    <row r="26" spans="1:12" ht="33" customHeight="1">
      <c r="A26" s="33" t="s">
        <v>191</v>
      </c>
      <c r="B26" s="34"/>
      <c r="C26" s="35"/>
      <c r="D26" s="36" t="s">
        <v>192</v>
      </c>
      <c r="E26" s="37"/>
      <c r="F26" s="37"/>
      <c r="G26" s="37"/>
      <c r="H26" s="37"/>
      <c r="I26" s="37"/>
      <c r="J26" s="37"/>
      <c r="K26" s="37"/>
      <c r="L26" s="38"/>
    </row>
    <row r="27" spans="1:12" ht="33" customHeight="1">
      <c r="A27" s="33" t="s">
        <v>193</v>
      </c>
      <c r="B27" s="34"/>
      <c r="C27" s="35"/>
      <c r="D27" s="36" t="s">
        <v>194</v>
      </c>
      <c r="E27" s="37"/>
      <c r="F27" s="37"/>
      <c r="G27" s="37"/>
      <c r="H27" s="37"/>
      <c r="I27" s="37"/>
      <c r="J27" s="37"/>
      <c r="K27" s="37"/>
      <c r="L27" s="38"/>
    </row>
    <row r="28" spans="1:12" ht="33" customHeight="1">
      <c r="A28" s="33" t="s">
        <v>195</v>
      </c>
      <c r="B28" s="34"/>
      <c r="C28" s="35"/>
      <c r="D28" s="36" t="s">
        <v>196</v>
      </c>
      <c r="E28" s="37"/>
      <c r="F28" s="37"/>
      <c r="G28" s="37"/>
      <c r="H28" s="37"/>
      <c r="I28" s="37"/>
      <c r="J28" s="37"/>
      <c r="K28" s="37"/>
      <c r="L28" s="38"/>
    </row>
    <row r="29" spans="1:12" ht="22.95" customHeight="1"/>
    <row r="30" spans="1:12" ht="22.95" customHeight="1">
      <c r="A30" s="32" t="s">
        <v>197</v>
      </c>
      <c r="B30" s="32"/>
      <c r="C30" s="32"/>
      <c r="D30" s="32"/>
      <c r="E30" s="32"/>
      <c r="F30" s="32"/>
      <c r="G30" s="32"/>
      <c r="H30" s="32"/>
      <c r="I30" s="32"/>
      <c r="J30" s="32"/>
      <c r="K30" s="32"/>
      <c r="L30" s="32"/>
    </row>
    <row r="31" spans="1:12" ht="22.95" customHeight="1">
      <c r="A31" s="39" t="s">
        <v>198</v>
      </c>
      <c r="B31" s="40"/>
      <c r="C31" s="40"/>
      <c r="D31" s="40"/>
      <c r="E31" s="40"/>
      <c r="F31" s="40"/>
      <c r="G31" s="40"/>
      <c r="H31" s="40"/>
      <c r="I31" s="40"/>
      <c r="J31" s="40"/>
      <c r="K31" s="40"/>
      <c r="L31" s="41"/>
    </row>
    <row r="32" spans="1:12" ht="22.95" customHeight="1">
      <c r="A32" s="42"/>
      <c r="B32" s="43"/>
      <c r="C32" s="43"/>
      <c r="D32" s="43"/>
      <c r="E32" s="43"/>
      <c r="F32" s="43"/>
      <c r="G32" s="43"/>
      <c r="H32" s="43"/>
      <c r="I32" s="43"/>
      <c r="J32" s="43"/>
      <c r="K32" s="43"/>
      <c r="L32" s="44"/>
    </row>
    <row r="33" spans="1:12" ht="22.95" customHeight="1">
      <c r="A33" s="45"/>
      <c r="B33" s="46"/>
      <c r="C33" s="46"/>
      <c r="D33" s="46"/>
      <c r="E33" s="46"/>
      <c r="F33" s="46"/>
      <c r="G33" s="46"/>
      <c r="H33" s="46"/>
      <c r="I33" s="46"/>
      <c r="J33" s="46"/>
      <c r="K33" s="46"/>
      <c r="L33" s="47"/>
    </row>
    <row r="34" spans="1:12" ht="22.95" customHeight="1"/>
    <row r="35" spans="1:12" ht="22.95" customHeight="1">
      <c r="A35" s="48" t="s">
        <v>199</v>
      </c>
      <c r="B35" s="48"/>
      <c r="C35" s="48"/>
      <c r="D35" s="48"/>
      <c r="E35" s="48"/>
      <c r="F35" s="48"/>
      <c r="G35" s="48"/>
      <c r="H35" s="48"/>
      <c r="I35" s="48"/>
      <c r="J35" s="48"/>
      <c r="K35" s="48"/>
      <c r="L35" s="48"/>
    </row>
    <row r="36" spans="1:12" ht="22.95" customHeight="1">
      <c r="A36" s="48"/>
      <c r="B36" s="48"/>
      <c r="C36" s="48"/>
      <c r="D36" s="48"/>
      <c r="E36" s="48"/>
      <c r="F36" s="48"/>
      <c r="G36" s="48"/>
      <c r="H36" s="48"/>
      <c r="I36" s="48"/>
      <c r="J36" s="48"/>
      <c r="K36" s="48"/>
      <c r="L36" s="48"/>
    </row>
    <row r="37" spans="1:12" ht="22.95" customHeight="1"/>
    <row r="38" spans="1:12" ht="43.95" customHeight="1">
      <c r="A38" s="49" t="s">
        <v>200</v>
      </c>
      <c r="B38" s="49"/>
      <c r="C38" s="49"/>
      <c r="D38" s="49"/>
      <c r="E38" s="49"/>
      <c r="F38" s="49"/>
      <c r="G38" s="49"/>
      <c r="H38" s="49"/>
      <c r="I38" s="49"/>
      <c r="J38" s="49"/>
      <c r="K38" s="49"/>
      <c r="L38" s="49"/>
    </row>
    <row r="40" spans="1:12" ht="34.049999999999997" customHeight="1">
      <c r="A40" s="50" t="s">
        <v>201</v>
      </c>
      <c r="B40" s="50"/>
      <c r="C40" s="50"/>
      <c r="D40" s="50"/>
      <c r="E40" s="50"/>
      <c r="F40" s="50"/>
      <c r="G40" s="50"/>
      <c r="H40" s="50"/>
      <c r="I40" s="50"/>
      <c r="J40" s="50"/>
      <c r="K40" s="50"/>
      <c r="L40" s="50"/>
    </row>
  </sheetData>
  <mergeCells count="48">
    <mergeCell ref="A31:L33"/>
    <mergeCell ref="A35:L36"/>
    <mergeCell ref="A38:L38"/>
    <mergeCell ref="A40:L40"/>
    <mergeCell ref="A27:C27"/>
    <mergeCell ref="D27:L27"/>
    <mergeCell ref="A28:C28"/>
    <mergeCell ref="D28:L28"/>
    <mergeCell ref="A30:L30"/>
    <mergeCell ref="A24:C24"/>
    <mergeCell ref="D24:L24"/>
    <mergeCell ref="A25:C25"/>
    <mergeCell ref="D25:L25"/>
    <mergeCell ref="A26:C26"/>
    <mergeCell ref="D26:L26"/>
    <mergeCell ref="A21:L21"/>
    <mergeCell ref="A22:C22"/>
    <mergeCell ref="D22:L22"/>
    <mergeCell ref="A23:C23"/>
    <mergeCell ref="D23:L23"/>
    <mergeCell ref="A17:C17"/>
    <mergeCell ref="D17:L17"/>
    <mergeCell ref="A18:C18"/>
    <mergeCell ref="D18:L18"/>
    <mergeCell ref="A19:C19"/>
    <mergeCell ref="D19:L19"/>
    <mergeCell ref="A14:C14"/>
    <mergeCell ref="D14:L14"/>
    <mergeCell ref="A15:C15"/>
    <mergeCell ref="D15:L15"/>
    <mergeCell ref="A16:C16"/>
    <mergeCell ref="D16:L16"/>
    <mergeCell ref="A10:C10"/>
    <mergeCell ref="D10:L10"/>
    <mergeCell ref="A11:C11"/>
    <mergeCell ref="D11:L11"/>
    <mergeCell ref="A13:L13"/>
    <mergeCell ref="A7:C7"/>
    <mergeCell ref="D7:L7"/>
    <mergeCell ref="A8:C8"/>
    <mergeCell ref="D8:L8"/>
    <mergeCell ref="A9:C9"/>
    <mergeCell ref="D9:L9"/>
    <mergeCell ref="A1:L2"/>
    <mergeCell ref="A3:L3"/>
    <mergeCell ref="A5:L5"/>
    <mergeCell ref="A6:C6"/>
    <mergeCell ref="D6: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OEE Dashboard</vt:lpstr>
      <vt:lpstr>Production Data</vt:lpstr>
      <vt:lpstr>Downtime Log</vt:lpstr>
      <vt:lpstr>Quality Data</vt:lpstr>
      <vt:lpstr>Machine Master</vt:lpstr>
      <vt:lpstr>Loss Codes</vt:lpstr>
      <vt:lpstr>Summary</vt:lpstr>
      <vt:lpstr>Hướng dẫn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2026-10-19T08:41:37Z</dcterms:modified>
</cp:coreProperties>
</file>